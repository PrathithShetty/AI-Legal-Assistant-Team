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ypes of Testing" sheetId="2" state="visible" r:id="rId4"/>
    <sheet name="Summary" sheetId="3" state="visible" r:id="rId5"/>
    <sheet name="Traceability" sheetId="4" state="visible" r:id="rId6"/>
  </sheets>
  <definedNames>
    <definedName function="false" hidden="false" localSheetId="0" name="_xlnm.Print_Titles" vbProcedure="false">'Test Cases'!$5:$5</definedName>
    <definedName function="false" hidden="true" localSheetId="0" name="_xlnm._FilterDatabase" vbProcedure="false">'Test Cases'!$A$5:$O$21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Column C holds the test case for each type of testing.</t>
        </r>
      </text>
    </comment>
  </commentList>
</comments>
</file>

<file path=xl/sharedStrings.xml><?xml version="1.0" encoding="utf-8"?>
<sst xmlns="http://schemas.openxmlformats.org/spreadsheetml/2006/main" count="418" uniqueCount="266">
  <si>
    <t xml:space="preserve">AI-Based Legal Assistant, e-Lawyer and Case Guidance System - Test Cases</t>
  </si>
  <si>
    <t xml:space="preserve">Project ID 28 · UE24CS341A Software Engineering · Team: Prathith Shetty (PES2UG24AM121), Niharika Mirle (PES2UG24AM105), Nidhi (PES2UG24AM102), Prarthana D Acharya (PES2UG24AM119)</t>
  </si>
  <si>
    <t xml:space="preserve">How to use: fill the yellow columns (Actual Result, Status, Tested By, Test Date) when you execute a test. Status: Pass / Fail / Blocked / Not Run. 'Pass' rows were verified by the automated test named in column M.</t>
  </si>
  <si>
    <t xml:space="preserve">Test Case ID</t>
  </si>
  <si>
    <t xml:space="preserve">Type of Test Case</t>
  </si>
  <si>
    <t xml:space="preserve">Test Case</t>
  </si>
  <si>
    <t xml:space="preserve">Requirement (SRS)</t>
  </si>
  <si>
    <t xml:space="preserve">Module (Owner)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</si>
  <si>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</si>
  <si>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</si>
  <si>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</si>
  <si>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</si>
  <si>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</si>
  <si>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</si>
  <si>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</si>
  <si>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Automated Test / Method</t>
  </si>
  <si>
    <t xml:space="preserve">Tested By</t>
  </si>
  <si>
    <t xml:space="preserve">Test Date</t>
  </si>
  <si>
    <t xml:space="preserve">TC-FUN-01</t>
  </si>
  <si>
    <t xml:space="preserve">Functional</t>
  </si>
  <si>
    <t xml:space="preserve">Register a new user with valid details</t>
  </si>
  <si>
    <t xml:space="preserve">FR-01</t>
  </si>
  <si>
    <t xml:space="preserve">User &amp; Case Mgmt (Prathith)</t>
  </si>
  <si>
    <t xml:space="preserve">User is logged out; email not registered before</t>
  </si>
  <si>
    <t xml:space="preserve">1. Click Sign up
2. Enter name, email, password, confirm password
3. Tick the 'not legal advice' checkbox
4. Click Create account</t>
  </si>
  <si>
    <t xml:space="preserve">Name: Asha Rao; Email: asha@example.test; Password: secret123</t>
  </si>
  <si>
    <t xml:space="preserve">Account is created; message 'Welcome! Your account has been created.'; header shows 'Hi, Asha'</t>
  </si>
  <si>
    <t xml:space="preserve">As expected - automated test passed (15-Oct-2026, 98/98 tests)</t>
  </si>
  <si>
    <t xml:space="preserve">Pass</t>
  </si>
  <si>
    <t xml:space="preserve">High</t>
  </si>
  <si>
    <t xml:space="preserve">tests/test_auth.py::test_register_creates_account_and_logs_in</t>
  </si>
  <si>
    <t xml:space="preserve">Automated (pytest)</t>
  </si>
  <si>
    <t xml:space="preserve">15-Oct-2026</t>
  </si>
  <si>
    <t xml:space="preserve">TC-UNT-03</t>
  </si>
  <si>
    <t xml:space="preserve">Unit</t>
  </si>
  <si>
    <t xml:space="preserve">Registration validator rejects weak passwords</t>
  </si>
  <si>
    <t xml:space="preserve">FR-02</t>
  </si>
  <si>
    <t xml:space="preserve">-</t>
  </si>
  <si>
    <t xml:space="preserve">Call validate_registration() with each password</t>
  </si>
  <si>
    <t xml:space="preserve">'abcdefgh' (no digit), '12345678' (no letter)</t>
  </si>
  <si>
    <t xml:space="preserve">Both return an error on the 'password' field</t>
  </si>
  <si>
    <t xml:space="preserve">tests/test_auth.py::test_password_needs_letter_and_number</t>
  </si>
  <si>
    <t xml:space="preserve">TC-NEG-02</t>
  </si>
  <si>
    <t xml:space="preserve">Negative</t>
  </si>
  <si>
    <t xml:space="preserve">Log in with a wrong password</t>
  </si>
  <si>
    <t xml:space="preserve">FR-03, NFR-09</t>
  </si>
  <si>
    <t xml:space="preserve">Registered user exists</t>
  </si>
  <si>
    <t xml:space="preserve">1. Enter a correct email and wrong password
2. Click Log in</t>
  </si>
  <si>
    <t xml:space="preserve">asha@example.test / wrong-pass1</t>
  </si>
  <si>
    <t xml:space="preserve">HTTP 401 with 'Incorrect email or password.' (does not reveal which field was wrong)</t>
  </si>
  <si>
    <t xml:space="preserve">tests/test_auth.py::test_wrong_password_gives_generic_error</t>
  </si>
  <si>
    <t xml:space="preserve">TC-INT-01</t>
  </si>
  <si>
    <t xml:space="preserve">Integration</t>
  </si>
  <si>
    <t xml:space="preserve">Question from a logged-in user is saved to the database and shown in My cases</t>
  </si>
  <si>
    <t xml:space="preserve">FR-20, FR-21</t>
  </si>
  <si>
    <t xml:space="preserve">User is logged in</t>
  </si>
  <si>
    <t xml:space="preserve">1. POST a question
2. Read the returned query_id
3. Open /history/&lt;query_id&gt;</t>
  </si>
  <si>
    <t xml:space="preserve">'My landlord kept my deposit after I left'</t>
  </si>
  <si>
    <t xml:space="preserve">query_id is an integer; the case page shows category 'Property &amp; Tenancy' and the saved answer</t>
  </si>
  <si>
    <t xml:space="preserve">tests/test_cases.py::test_case_detail_shows_saved_answer</t>
  </si>
  <si>
    <t xml:space="preserve">TC-API-01</t>
  </si>
  <si>
    <t xml:space="preserve">API</t>
  </si>
  <si>
    <t xml:space="preserve">POST /api/query with a valid question returns the structured JSON</t>
  </si>
  <si>
    <t xml:space="preserve">FR-05, FR-08</t>
  </si>
  <si>
    <t xml:space="preserve">Query &amp; AI (Niharika)</t>
  </si>
  <si>
    <t xml:space="preserve">Valid session and CSRF token</t>
  </si>
  <si>
    <t xml:space="preserve">Send POST /api/query with JSON body and X-CSRF-Token header</t>
  </si>
  <si>
    <t xml:space="preserve">{"question": "My employer has not paid my salary for two months"}</t>
  </si>
  <si>
    <t xml:space="preserve">HTTP 200; JSON has summary, category {slug: employment}, steps, references, professional_help, emergency, disclaimer, elapsed_ms</t>
  </si>
  <si>
    <t xml:space="preserve">tests/test_query.py::test_category_is_returned</t>
  </si>
  <si>
    <t xml:space="preserve">TC-BVA-01</t>
  </si>
  <si>
    <t xml:space="preserve">Boundary Value</t>
  </si>
  <si>
    <t xml:space="preserve">Question length at the 2000-character limit</t>
  </si>
  <si>
    <t xml:space="preserve">FR-06</t>
  </si>
  <si>
    <t xml:space="preserve">Submit questions of 2000 and 2001 characters</t>
  </si>
  <si>
    <t xml:space="preserve">2000 chars / 2001 chars</t>
  </si>
  <si>
    <t xml:space="preserve">2000 accepted; 2001 rejected with 'Please keep it under 2000 characters.'</t>
  </si>
  <si>
    <t xml:space="preserve">Medium</t>
  </si>
  <si>
    <t xml:space="preserve">tests/test_query.py::test_validate_query_rules</t>
  </si>
  <si>
    <t xml:space="preserve">TC-PRF-01</t>
  </si>
  <si>
    <t xml:space="preserve">Performance</t>
  </si>
  <si>
    <t xml:space="preserve">Response time in knowledge-base mode</t>
  </si>
  <si>
    <t xml:space="preserve">NFR-01, NFR-02</t>
  </si>
  <si>
    <t xml:space="preserve">AI disabled</t>
  </si>
  <si>
    <t xml:space="preserve">1. Ask a question
2. Read elapsed_ms in the API response</t>
  </si>
  <si>
    <t xml:space="preserve">Any supported question</t>
  </si>
  <si>
    <t xml:space="preserve">Response in under 2 seconds</t>
  </si>
  <si>
    <t xml:space="preserve">tests/test_query.py::test_response_time_reported</t>
  </si>
  <si>
    <t xml:space="preserve">TC-UI-01</t>
  </si>
  <si>
    <t xml:space="preserve">UI / Usability</t>
  </si>
  <si>
    <t xml:space="preserve">Answer sections are clearly labelled for non-technical users</t>
  </si>
  <si>
    <t xml:space="preserve">FR-08, NFR-12</t>
  </si>
  <si>
    <t xml:space="preserve">1. Ask a question
2. Review the answer layout</t>
  </si>
  <si>
    <t xml:space="preserve">Any example question</t>
  </si>
  <si>
    <t xml:space="preserve">Sections in order: category badge, Summary, General steps, When to consult a lawyer (if any), Legal references, disclaimer, feedback</t>
  </si>
  <si>
    <t xml:space="preserve">Not Run</t>
  </si>
  <si>
    <t xml:space="preserve">Manual</t>
  </si>
  <si>
    <t xml:space="preserve">TC-AIS-03</t>
  </si>
  <si>
    <t xml:space="preserve">AI Safety &amp; Compliance</t>
  </si>
  <si>
    <t xml:space="preserve">Danger to life shows emergency helplines first</t>
  </si>
  <si>
    <t xml:space="preserve">NFR-06</t>
  </si>
  <si>
    <t xml:space="preserve">Case Guidance (Nidhi)</t>
  </si>
  <si>
    <t xml:space="preserve">Ask the question</t>
  </si>
  <si>
    <t xml:space="preserve">'My husband is beating me'</t>
  </si>
  <si>
    <t xml:space="preserve">Red emergency box with 112 (police) and 181 (women helpline); self-harm wording shows Tele-MANAS 14416</t>
  </si>
  <si>
    <t xml:space="preserve">tests/test_guidance.py::test_emergency_and_self_harm_notices</t>
  </si>
  <si>
    <t xml:space="preserve">TC-REG-02</t>
  </si>
  <si>
    <t xml:space="preserve">Regression</t>
  </si>
  <si>
    <t xml:space="preserve">Earlier bug stays fixed: 'will' in a normal sentence</t>
  </si>
  <si>
    <t xml:space="preserve">FR-10</t>
  </si>
  <si>
    <t xml:space="preserve">'Which football team will win the match tomorrow?'</t>
  </si>
  <si>
    <t xml:space="preserve">Not classified as Family &amp; Marriage</t>
  </si>
  <si>
    <t xml:space="preserve">tests/test_classifier.py::test_unrelated_questions_not_classified</t>
  </si>
  <si>
    <t xml:space="preserve">TC-DB-04</t>
  </si>
  <si>
    <t xml:space="preserve">Database</t>
  </si>
  <si>
    <t xml:space="preserve">Every seeded template only uses fields it defines</t>
  </si>
  <si>
    <t xml:space="preserve">FR-19</t>
  </si>
  <si>
    <t xml:space="preserve">Compare {{placeholders}} in each template with its fields list</t>
  </si>
  <si>
    <t xml:space="preserve">7 seeded templates</t>
  </si>
  <si>
    <t xml:space="preserve">No template uses an undefined field</t>
  </si>
  <si>
    <t xml:space="preserve">Low</t>
  </si>
  <si>
    <t xml:space="preserve">tests/test_app.py::test_seeded_templates_use_only_defined_fields</t>
  </si>
  <si>
    <t xml:space="preserve">TC-SEC-06</t>
  </si>
  <si>
    <t xml:space="preserve">Security</t>
  </si>
  <si>
    <t xml:space="preserve">Script entered in a template field is not executed (XSS)</t>
  </si>
  <si>
    <t xml:space="preserve">NFR-09</t>
  </si>
  <si>
    <t xml:space="preserve">1. Enter the script in Your full name
2. Generate</t>
  </si>
  <si>
    <t xml:space="preserve">&lt;script&gt;alert(1)&lt;/script&gt;</t>
  </si>
  <si>
    <t xml:space="preserve">Text is shown escaped (&amp;lt;script&amp;gt;); no pop-up appears</t>
  </si>
  <si>
    <t xml:space="preserve">tests/test_templates.py::test_generated_output_is_html_escaped</t>
  </si>
  <si>
    <t xml:space="preserve">TC-SMK-02</t>
  </si>
  <si>
    <t xml:space="preserve">Smoke</t>
  </si>
  <si>
    <t xml:space="preserve">Verify the knowledge base is seeded on first start</t>
  </si>
  <si>
    <t xml:space="preserve">T-01, FR-23</t>
  </si>
  <si>
    <t xml:space="preserve">Admin &amp; DB (Prarthana)</t>
  </si>
  <si>
    <t xml:space="preserve">Fresh database (instance/ folder deleted)</t>
  </si>
  <si>
    <t xml:space="preserve">1. Start the app
2. Open Legal references and Templates pages</t>
  </si>
  <si>
    <t xml:space="preserve">7 legal categories, 35 legal references and 7 document templates are available</t>
  </si>
  <si>
    <t xml:space="preserve">tests/test_app.py::test_knowledge_base_is_seeded</t>
  </si>
  <si>
    <t xml:space="preserve">TC-LOD-01</t>
  </si>
  <si>
    <t xml:space="preserve">Load / Stress</t>
  </si>
  <si>
    <t xml:space="preserve">10 users ask questions at the same time</t>
  </si>
  <si>
    <t xml:space="preserve">NFR-03</t>
  </si>
  <si>
    <t xml:space="preserve">App running (python run.py)</t>
  </si>
  <si>
    <t xml:space="preserve">1. Run: python scripts/load_test.py --users 10 --requests 5</t>
  </si>
  <si>
    <t xml:space="preserve">10 users x 5 questions</t>
  </si>
  <si>
    <t xml:space="preserve">All 50 requests succeed, 0 errors, each user gets the answer to their own question</t>
  </si>
  <si>
    <t xml:space="preserve">As expected - 50/50 succeeded, 0 errors; avg 0.02 s, p95 0.04 s (15-Oct-2026)</t>
  </si>
  <si>
    <t xml:space="preserve">scripts/load_test.py</t>
  </si>
  <si>
    <t xml:space="preserve">Automated (load_test.py)</t>
  </si>
  <si>
    <t xml:space="preserve">TC-SYS-02</t>
  </si>
  <si>
    <t xml:space="preserve">System (End-to-End)</t>
  </si>
  <si>
    <t xml:space="preserve">Administrator journey: log in, update content, review feedback</t>
  </si>
  <si>
    <t xml:space="preserve">FR-04, FR-23 to FR-25</t>
  </si>
  <si>
    <t xml:space="preserve">Admin account configured in .env</t>
  </si>
  <si>
    <t xml:space="preserve">1. Log in as admin
2. Open Admin
3. Edit a category
4. Add a reference
5. Review a feedback item</t>
  </si>
  <si>
    <t xml:space="preserve">Admin credentials from .env</t>
  </si>
  <si>
    <t xml:space="preserve">Admin menu visible only for admin; all changes saved and visible to users</t>
  </si>
  <si>
    <t xml:space="preserve">TC-UAT-02</t>
  </si>
  <si>
    <t xml:space="preserve">User Acceptance (UAT)</t>
  </si>
  <si>
    <t xml:space="preserve">Administrator updates content without any code change</t>
  </si>
  <si>
    <t xml:space="preserve">FR-23, FR-24</t>
  </si>
  <si>
    <t xml:space="preserve">Team member acting as admin</t>
  </si>
  <si>
    <t xml:space="preserve">1. Add a new template through Admin
2. Use it as a normal user</t>
  </si>
  <si>
    <t xml:space="preserve">Template is usable immediately; no developer needed</t>
  </si>
  <si>
    <t xml:space="preserve">#</t>
  </si>
  <si>
    <t xml:space="preserve">What it checks</t>
  </si>
  <si>
    <t xml:space="preserve">Why it matters for this project</t>
  </si>
  <si>
    <t xml:space="preserve">ID prefix</t>
  </si>
  <si>
    <t xml:space="preserve">No. of test cases</t>
  </si>
  <si>
    <t xml:space="preserve">Quick check that the build starts and its most important pages work before deeper testing.</t>
  </si>
  <si>
    <t xml:space="preserve">Run on every pull request / before a demo so a broken build is caught in seconds.</t>
  </si>
  <si>
    <t xml:space="preserve">TC-SMK</t>
  </si>
  <si>
    <t xml:space="preserve">Each feature does what the SRS functional requirement says.</t>
  </si>
  <si>
    <t xml:space="preserve">Proves FR-01 to FR-25 are implemented: login, legal query, guidance, references, templates, history, admin.</t>
  </si>
  <si>
    <t xml:space="preserve">TC-FUN</t>
  </si>
  <si>
    <t xml:space="preserve">A single function or class tested in isolation from the rest of the app.</t>
  </si>
  <si>
    <t xml:space="preserve">Classifier, validators and template filling contain the core logic and must be correct on their own (NFR-15).</t>
  </si>
  <si>
    <t xml:space="preserve">TC-UNT</t>
  </si>
  <si>
    <t xml:space="preserve">Two or more modules working together (UI, API, database, AI service).</t>
  </si>
  <si>
    <t xml:space="preserve">The answer is assembled from 4 team members' modules; their hand-offs must work.</t>
  </si>
  <si>
    <t xml:space="preserve">TC-INT</t>
  </si>
  <si>
    <t xml:space="preserve">A complete user journey through the deployed system, as a real user would do it.</t>
  </si>
  <si>
    <t xml:space="preserve">Matches what is shown in the sprint demo videos.</t>
  </si>
  <si>
    <t xml:space="preserve">TC-SYS</t>
  </si>
  <si>
    <t xml:space="preserve">The JSON endpoints called by the browser: status codes, payload, error messages.</t>
  </si>
  <si>
    <t xml:space="preserve">/api/query and /api/feedback are used by the Ask page and must reject bad input safely.</t>
  </si>
  <si>
    <t xml:space="preserve">TC-API</t>
  </si>
  <si>
    <t xml:space="preserve">Invalid, unexpected or unsupported input is handled gracefully.</t>
  </si>
  <si>
    <t xml:space="preserve">Users type anything; NFR-14 requires friendly messages instead of crashes.</t>
  </si>
  <si>
    <t xml:space="preserve">TC-NEG</t>
  </si>
  <si>
    <t xml:space="preserve">Values exactly at, just below and just above each limit.</t>
  </si>
  <si>
    <t xml:space="preserve">Query length (10-2000), password length (8), rating (1-5) are classic off-by-one risks.</t>
  </si>
  <si>
    <t xml:space="preserve">TC-BVA</t>
  </si>
  <si>
    <t xml:space="preserve">Authentication, authorization, data privacy and common web attacks.</t>
  </si>
  <si>
    <t xml:space="preserve">Legal questions are sensitive personal data (NFR-07 to NFR-11, BR-04).</t>
  </si>
  <si>
    <t xml:space="preserve">TC-SEC</t>
  </si>
  <si>
    <t xml:space="preserve">Schema, seed data, stored records and data integrity.</t>
  </si>
  <si>
    <t xml:space="preserve">Field layouts must follow SRS Appendix B and survive upgrades.</t>
  </si>
  <si>
    <t xml:space="preserve">TC-DB</t>
  </si>
  <si>
    <t xml:space="preserve">Response time of key operations under normal load.</t>
  </si>
  <si>
    <t xml:space="preserve">NFR-01/NFR-02: answers within a reasonable time.</t>
  </si>
  <si>
    <t xml:space="preserve">TC-PRF</t>
  </si>
  <si>
    <t xml:space="preserve">Behaviour with many simultaneous users, and beyond the expected load.</t>
  </si>
  <si>
    <t xml:space="preserve">NFR-03: multiple users within the prototype workload.</t>
  </si>
  <si>
    <t xml:space="preserve">TC-LOD</t>
  </si>
  <si>
    <t xml:space="preserve">Legal-domain safety rules: disclaimers, no guaranteed outcomes, lawyer and emergency referrals.</t>
  </si>
  <si>
    <t xml:space="preserve">Most important risk of a legal assistant (NFR-04 to NFR-06, BR-01 to BR-03, BR-05).</t>
  </si>
  <si>
    <t xml:space="preserve">TC-AIS</t>
  </si>
  <si>
    <t xml:space="preserve">Layout, clarity and ease of use for non-technical users, including accessibility.</t>
  </si>
  <si>
    <t xml:space="preserve">NFR-12: simple interface for users without legal expertise.</t>
  </si>
  <si>
    <t xml:space="preserve">TC-UI</t>
  </si>
  <si>
    <t xml:space="preserve">Previously working features still work after a change or merge.</t>
  </si>
  <si>
    <t xml:space="preserve">Every sprint PR merges into main; CI must catch anything that breaks.</t>
  </si>
  <si>
    <t xml:space="preserve">TC-REG</t>
  </si>
  <si>
    <t xml:space="preserve">Real users confirm the system meets their needs before release.</t>
  </si>
  <si>
    <t xml:space="preserve">Final sign-off before freezing development at the end of Sprint 2.</t>
  </si>
  <si>
    <t xml:space="preserve">TC-UAT</t>
  </si>
  <si>
    <t xml:space="preserve">Total</t>
  </si>
  <si>
    <t xml:space="preserve">Test Execution Summary</t>
  </si>
  <si>
    <t xml:space="preserve">All numbers are formulas over the Test Cases sheet and update as you fill in Status.</t>
  </si>
  <si>
    <t xml:space="preserve">Fail</t>
  </si>
  <si>
    <t xml:space="preserve">Blocked</t>
  </si>
  <si>
    <t xml:space="preserve">Pass %</t>
  </si>
  <si>
    <t xml:space="preserve">Requirement</t>
  </si>
  <si>
    <t xml:space="preserve">Description (SRS)</t>
  </si>
  <si>
    <t xml:space="preserve">Test Case IDs</t>
  </si>
  <si>
    <t xml:space="preserve">No. of Test Cases</t>
  </si>
  <si>
    <t xml:space="preserve">Coverage</t>
  </si>
  <si>
    <t xml:space="preserve">Create an account</t>
  </si>
  <si>
    <t xml:space="preserve">Validate registration information</t>
  </si>
  <si>
    <t xml:space="preserve">FR-03</t>
  </si>
  <si>
    <t xml:space="preserve">Log in and log out</t>
  </si>
  <si>
    <t xml:space="preserve">FR-04</t>
  </si>
  <si>
    <t xml:space="preserve">Restrict admin functions to administrators</t>
  </si>
  <si>
    <t xml:space="preserve">FR-05</t>
  </si>
  <si>
    <t xml:space="preserve">Submit legal questions in natural language</t>
  </si>
  <si>
    <t xml:space="preserve">Validate that a query has usable input</t>
  </si>
  <si>
    <t xml:space="preserve">FR-08</t>
  </si>
  <si>
    <t xml:space="preserve">Present responses in a clear, structured format</t>
  </si>
  <si>
    <t xml:space="preserve">TC-API-01, TC-UI-01</t>
  </si>
  <si>
    <t xml:space="preserve">Classify legal queries into categories</t>
  </si>
  <si>
    <t xml:space="preserve">View or generate supported templates</t>
  </si>
  <si>
    <t xml:space="preserve">FR-20</t>
  </si>
  <si>
    <t xml:space="preserve">Store queries and responses for registered users</t>
  </si>
  <si>
    <t xml:space="preserve">FR-21</t>
  </si>
  <si>
    <t xml:space="preserve">View own query history</t>
  </si>
  <si>
    <t xml:space="preserve">FR-23</t>
  </si>
  <si>
    <t xml:space="preserve">Admin manages approved legal information</t>
  </si>
  <si>
    <t xml:space="preserve">TC-SMK-02, TC-SYS-02, TC-UAT-02</t>
  </si>
  <si>
    <t xml:space="preserve">FR-24</t>
  </si>
  <si>
    <t xml:space="preserve">Admin manages references and templates</t>
  </si>
  <si>
    <t xml:space="preserve">TC-SYS-02, TC-UAT-02</t>
  </si>
  <si>
    <t xml:space="preserve">FR-25</t>
  </si>
  <si>
    <t xml:space="preserve">Admin reviews feedback</t>
  </si>
  <si>
    <t xml:space="preserve">NFR-01</t>
  </si>
  <si>
    <t xml:space="preserve">Responses within reasonable time</t>
  </si>
  <si>
    <t xml:space="preserve">NFR-02</t>
  </si>
  <si>
    <t xml:space="preserve">No unnecessary delays</t>
  </si>
  <si>
    <t xml:space="preserve">Support multiple users</t>
  </si>
  <si>
    <t xml:space="preserve">Encourage consulting a lawyer</t>
  </si>
  <si>
    <t xml:space="preserve">Protect user information and queries</t>
  </si>
  <si>
    <t xml:space="preserve">TC-NEG-02, TC-SEC-06</t>
  </si>
  <si>
    <t xml:space="preserve">NFR-12</t>
  </si>
  <si>
    <t xml:space="preserve">Usability for non-technical users</t>
  </si>
  <si>
    <t xml:space="preserve">Requirements covered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</si>
</sst>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9"/>
        <bgColor rgb="FFE8F5E9"/>
      </patternFill>
    </fill>
    <fill>
      <patternFill patternType="solid">
        <fgColor rgb="FFFFF2CC"/>
        <bgColor rgb="FFFFF8E1"/>
      </patternFill>
    </fill>
    <fill>
      <patternFill patternType="solid">
        <fgColor rgb="FFFBE4D5"/>
        <bgColor rgb="FFF3E5D8"/>
      </patternFill>
    </fill>
    <fill>
      <patternFill patternType="solid">
        <fgColor rgb="FFFCE4EC"/>
        <bgColor rgb="FFFFEBEE"/>
      </patternFill>
    </fill>
    <fill>
      <patternFill patternType="solid">
        <fgColor rgb="FFEDE7F6"/>
        <bgColor rgb="FFE8EAF6"/>
      </patternFill>
    </fill>
    <fill>
      <patternFill patternType="solid">
        <fgColor rgb="FFE0F2F1"/>
        <bgColor rgb="FFE3F2FD"/>
      </patternFill>
    </fill>
    <fill>
      <patternFill patternType="solid">
        <fgColor rgb="FFF3E5D8"/>
        <bgColor rgb="FFFBE4D5"/>
      </patternFill>
    </fill>
    <fill>
      <patternFill patternType="solid">
        <fgColor rgb="FFFFF8E1"/>
        <bgColor rgb="FFF9FBE7"/>
      </patternFill>
    </fill>
    <fill>
      <patternFill patternType="solid">
        <fgColor rgb="FFF9FBE7"/>
        <bgColor rgb="FFFFF8E1"/>
      </patternFill>
    </fill>
    <fill>
      <patternFill patternType="solid">
        <fgColor rgb="FFFFEBEE"/>
        <bgColor rgb="FFFCE4EC"/>
      </patternFill>
    </fill>
    <fill>
      <patternFill patternType="solid">
        <fgColor rgb="FFECEFF1"/>
        <bgColor rgb="FFE8EAF6"/>
      </patternFill>
    </fill>
    <fill>
      <patternFill patternType="solid">
        <fgColor rgb="FFF1F8E9"/>
        <bgColor rgb="FFF9FBE7"/>
      </patternFill>
    </fill>
    <fill>
      <patternFill patternType="solid">
        <fgColor rgb="FFE8EAF6"/>
        <bgColor rgb="FFEDE7F6"/>
      </patternFill>
    </fill>
    <fill>
      <patternFill patternType="solid">
        <fgColor rgb="FFDEEAF6"/>
        <bgColor rgb="FFE8EAF6"/>
      </patternFill>
    </fill>
    <fill>
      <patternFill patternType="solid">
        <fgColor rgb="FFE3F2FD"/>
        <bgColor rgb="FFE0F2F1"/>
      </patternFill>
    </fill>
    <fill>
      <patternFill patternType="solid">
        <fgColor rgb="FFE8F5E9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2EFD9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D8"/>
          <bgColor rgb="FF000000"/>
        </patternFill>
      </fill>
    </dxf>
    <dxf>
      <fill>
        <patternFill patternType="solid">
          <fgColor rgb="FFF9FBE7"/>
          <bgColor rgb="FF000000"/>
        </patternFill>
      </fill>
    </dxf>
    <dxf>
      <fill>
        <patternFill patternType="solid">
          <fgColor rgb="FFFBE4D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FCE4EC"/>
      <rgbColor rgb="FF993366"/>
      <rgbColor rgb="FFFFF8E1"/>
      <rgbColor rgb="FFE0F2F1"/>
      <rgbColor rgb="FF660066"/>
      <rgbColor rgb="FFFFEBEE"/>
      <rgbColor rgb="FF0066CC"/>
      <rgbColor rgb="FFDEEAF6"/>
      <rgbColor rgb="FF000080"/>
      <rgbColor rgb="FFFF00FF"/>
      <rgbColor rgb="FFE2EFD9"/>
      <rgbColor rgb="FF00FFFF"/>
      <rgbColor rgb="FF800080"/>
      <rgbColor rgb="FF800000"/>
      <rgbColor rgb="FF008080"/>
      <rgbColor rgb="FF0000FF"/>
      <rgbColor rgb="FF00CCFF"/>
      <rgbColor rgb="FFE3F2FD"/>
      <rgbColor rgb="FFC6EFCE"/>
      <rgbColor rgb="FFFFEB9C"/>
      <rgbColor rgb="FFE8EAF6"/>
      <rgbColor rgb="FFFBE4D5"/>
      <rgbColor rgb="FFEDE7F6"/>
      <rgbColor rgb="FFFFC7CE"/>
      <rgbColor rgb="FF3366FF"/>
      <rgbColor rgb="FFF9FBE7"/>
      <rgbColor rgb="FFE8F5E9"/>
      <rgbColor rgb="FFF3E5D8"/>
      <rgbColor rgb="FFF1F8E9"/>
      <rgbColor rgb="FFFF6600"/>
      <rgbColor rgb="FF666699"/>
      <rgbColor rgb="FFECEFF1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J40" activeCellId="0" sqref="J4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44"/>
    <col collapsed="false" customWidth="true" hidden="false" outlineLevel="0" max="8" min="8" style="0" width="34"/>
    <col collapsed="false" customWidth="true" hidden="false" outlineLevel="0" max="9" min="9" style="0" width="48"/>
    <col collapsed="false" customWidth="true" hidden="false" outlineLevel="0" max="10" min="10" style="0" width="34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40"/>
    <col collapsed="false" customWidth="true" hidden="false" outlineLevel="0" max="14" min="14" style="0" width="14"/>
    <col collapsed="false" customWidth="true" hidden="false" outlineLevel="0" max="15" min="15" style="0" width="12"/>
  </cols>
  <sheetData>
    <row r="1" customFormat="false" ht="17.2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customFormat="false" ht="52.5" hidden="false" customHeight="true" outlineLevel="0" collapsed="false">
      <c r="A6" s="5" t="s">
        <v>18</v>
      </c>
      <c r="B6" s="6" t="s">
        <v>19</v>
      </c>
      <c r="C6" s="7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  <c r="J6" s="8" t="s">
        <v>27</v>
      </c>
      <c r="K6" s="8" t="s">
        <v>28</v>
      </c>
      <c r="L6" s="5" t="s">
        <v>29</v>
      </c>
      <c r="M6" s="5" t="s">
        <v>30</v>
      </c>
      <c r="N6" s="8" t="s">
        <v>31</v>
      </c>
      <c r="O6" s="8" t="s">
        <v>32</v>
      </c>
    </row>
    <row r="7" customFormat="false" ht="26.25" hidden="false" customHeight="true" outlineLevel="0" collapsed="false">
      <c r="A7" s="5" t="s">
        <v>33</v>
      </c>
      <c r="B7" s="9" t="s">
        <v>34</v>
      </c>
      <c r="C7" s="7" t="s">
        <v>35</v>
      </c>
      <c r="D7" s="5" t="s">
        <v>36</v>
      </c>
      <c r="E7" s="5" t="s">
        <v>22</v>
      </c>
      <c r="F7" s="5" t="s">
        <v>37</v>
      </c>
      <c r="G7" s="5" t="s">
        <v>38</v>
      </c>
      <c r="H7" s="5" t="s">
        <v>39</v>
      </c>
      <c r="I7" s="5" t="s">
        <v>40</v>
      </c>
      <c r="J7" s="8" t="s">
        <v>27</v>
      </c>
      <c r="K7" s="8" t="s">
        <v>28</v>
      </c>
      <c r="L7" s="5" t="s">
        <v>29</v>
      </c>
      <c r="M7" s="5" t="s">
        <v>41</v>
      </c>
      <c r="N7" s="8" t="s">
        <v>31</v>
      </c>
      <c r="O7" s="8" t="s">
        <v>32</v>
      </c>
    </row>
    <row r="8" customFormat="false" ht="26.25" hidden="false" customHeight="true" outlineLevel="0" collapsed="false">
      <c r="A8" s="5" t="s">
        <v>42</v>
      </c>
      <c r="B8" s="10" t="s">
        <v>43</v>
      </c>
      <c r="C8" s="7" t="s">
        <v>44</v>
      </c>
      <c r="D8" s="5" t="s">
        <v>45</v>
      </c>
      <c r="E8" s="5" t="s">
        <v>22</v>
      </c>
      <c r="F8" s="5" t="s">
        <v>46</v>
      </c>
      <c r="G8" s="5" t="s">
        <v>47</v>
      </c>
      <c r="H8" s="5" t="s">
        <v>48</v>
      </c>
      <c r="I8" s="5" t="s">
        <v>49</v>
      </c>
      <c r="J8" s="8" t="s">
        <v>27</v>
      </c>
      <c r="K8" s="8" t="s">
        <v>28</v>
      </c>
      <c r="L8" s="5" t="s">
        <v>29</v>
      </c>
      <c r="M8" s="5" t="s">
        <v>50</v>
      </c>
      <c r="N8" s="8" t="s">
        <v>31</v>
      </c>
      <c r="O8" s="8" t="s">
        <v>32</v>
      </c>
    </row>
    <row r="9" customFormat="false" ht="39" hidden="false" customHeight="true" outlineLevel="0" collapsed="false">
      <c r="A9" s="5" t="s">
        <v>51</v>
      </c>
      <c r="B9" s="11" t="s">
        <v>52</v>
      </c>
      <c r="C9" s="7" t="s">
        <v>53</v>
      </c>
      <c r="D9" s="5" t="s">
        <v>54</v>
      </c>
      <c r="E9" s="5" t="s">
        <v>22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27</v>
      </c>
      <c r="K9" s="8" t="s">
        <v>28</v>
      </c>
      <c r="L9" s="5" t="s">
        <v>29</v>
      </c>
      <c r="M9" s="5" t="s">
        <v>59</v>
      </c>
      <c r="N9" s="8" t="s">
        <v>31</v>
      </c>
      <c r="O9" s="8" t="s">
        <v>32</v>
      </c>
    </row>
    <row r="10" customFormat="false" ht="39" hidden="false" customHeight="true" outlineLevel="0" collapsed="false">
      <c r="A10" s="5" t="s">
        <v>60</v>
      </c>
      <c r="B10" s="12" t="s">
        <v>61</v>
      </c>
      <c r="C10" s="7" t="s">
        <v>62</v>
      </c>
      <c r="D10" s="5" t="s">
        <v>63</v>
      </c>
      <c r="E10" s="5" t="s">
        <v>64</v>
      </c>
      <c r="F10" s="5" t="s">
        <v>65</v>
      </c>
      <c r="G10" s="5" t="s">
        <v>66</v>
      </c>
      <c r="H10" s="5" t="s">
        <v>67</v>
      </c>
      <c r="I10" s="5" t="s">
        <v>68</v>
      </c>
      <c r="J10" s="8" t="s">
        <v>27</v>
      </c>
      <c r="K10" s="8" t="s">
        <v>28</v>
      </c>
      <c r="L10" s="5" t="s">
        <v>29</v>
      </c>
      <c r="M10" s="5" t="s">
        <v>69</v>
      </c>
      <c r="N10" s="8" t="s">
        <v>31</v>
      </c>
      <c r="O10" s="8" t="s">
        <v>32</v>
      </c>
    </row>
    <row r="11" customFormat="false" ht="26.25" hidden="false" customHeight="true" outlineLevel="0" collapsed="false">
      <c r="A11" s="5" t="s">
        <v>70</v>
      </c>
      <c r="B11" s="13" t="s">
        <v>71</v>
      </c>
      <c r="C11" s="7" t="s">
        <v>72</v>
      </c>
      <c r="D11" s="5" t="s">
        <v>73</v>
      </c>
      <c r="E11" s="5" t="s">
        <v>64</v>
      </c>
      <c r="F11" s="5" t="s">
        <v>37</v>
      </c>
      <c r="G11" s="5" t="s">
        <v>74</v>
      </c>
      <c r="H11" s="5" t="s">
        <v>75</v>
      </c>
      <c r="I11" s="5" t="s">
        <v>76</v>
      </c>
      <c r="J11" s="8" t="s">
        <v>27</v>
      </c>
      <c r="K11" s="8" t="s">
        <v>28</v>
      </c>
      <c r="L11" s="5" t="s">
        <v>77</v>
      </c>
      <c r="M11" s="5" t="s">
        <v>78</v>
      </c>
      <c r="N11" s="8" t="s">
        <v>31</v>
      </c>
      <c r="O11" s="8" t="s">
        <v>32</v>
      </c>
    </row>
    <row r="12" customFormat="false" ht="26.25" hidden="false" customHeight="true" outlineLevel="0" collapsed="false">
      <c r="A12" s="5" t="s">
        <v>79</v>
      </c>
      <c r="B12" s="14" t="s">
        <v>80</v>
      </c>
      <c r="C12" s="7" t="s">
        <v>81</v>
      </c>
      <c r="D12" s="5" t="s">
        <v>82</v>
      </c>
      <c r="E12" s="5" t="s">
        <v>64</v>
      </c>
      <c r="F12" s="5" t="s">
        <v>83</v>
      </c>
      <c r="G12" s="5" t="s">
        <v>84</v>
      </c>
      <c r="H12" s="5" t="s">
        <v>85</v>
      </c>
      <c r="I12" s="5" t="s">
        <v>86</v>
      </c>
      <c r="J12" s="8" t="s">
        <v>27</v>
      </c>
      <c r="K12" s="8" t="s">
        <v>28</v>
      </c>
      <c r="L12" s="5" t="s">
        <v>29</v>
      </c>
      <c r="M12" s="5" t="s">
        <v>87</v>
      </c>
      <c r="N12" s="8" t="s">
        <v>31</v>
      </c>
      <c r="O12" s="8" t="s">
        <v>32</v>
      </c>
    </row>
    <row r="13" customFormat="false" ht="39" hidden="false" customHeight="true" outlineLevel="0" collapsed="false">
      <c r="A13" s="5" t="s">
        <v>88</v>
      </c>
      <c r="B13" s="15" t="s">
        <v>89</v>
      </c>
      <c r="C13" s="7" t="s">
        <v>90</v>
      </c>
      <c r="D13" s="5" t="s">
        <v>91</v>
      </c>
      <c r="E13" s="5" t="s">
        <v>64</v>
      </c>
      <c r="F13" s="5" t="s">
        <v>37</v>
      </c>
      <c r="G13" s="5" t="s">
        <v>92</v>
      </c>
      <c r="H13" s="5" t="s">
        <v>93</v>
      </c>
      <c r="I13" s="5" t="s">
        <v>94</v>
      </c>
      <c r="J13" s="8"/>
      <c r="K13" s="8" t="s">
        <v>95</v>
      </c>
      <c r="L13" s="5" t="s">
        <v>77</v>
      </c>
      <c r="M13" s="5" t="s">
        <v>96</v>
      </c>
      <c r="N13" s="8"/>
      <c r="O13" s="8"/>
    </row>
    <row r="14" customFormat="false" ht="26.25" hidden="false" customHeight="true" outlineLevel="0" collapsed="false">
      <c r="A14" s="5" t="s">
        <v>97</v>
      </c>
      <c r="B14" s="16" t="s">
        <v>98</v>
      </c>
      <c r="C14" s="7" t="s">
        <v>99</v>
      </c>
      <c r="D14" s="5" t="s">
        <v>100</v>
      </c>
      <c r="E14" s="5" t="s">
        <v>101</v>
      </c>
      <c r="F14" s="5" t="s">
        <v>37</v>
      </c>
      <c r="G14" s="5" t="s">
        <v>102</v>
      </c>
      <c r="H14" s="5" t="s">
        <v>103</v>
      </c>
      <c r="I14" s="5" t="s">
        <v>104</v>
      </c>
      <c r="J14" s="8" t="s">
        <v>27</v>
      </c>
      <c r="K14" s="8" t="s">
        <v>28</v>
      </c>
      <c r="L14" s="5" t="s">
        <v>29</v>
      </c>
      <c r="M14" s="5" t="s">
        <v>105</v>
      </c>
      <c r="N14" s="8" t="s">
        <v>31</v>
      </c>
      <c r="O14" s="8" t="s">
        <v>32</v>
      </c>
    </row>
    <row r="15" customFormat="false" ht="26.25" hidden="false" customHeight="true" outlineLevel="0" collapsed="false">
      <c r="A15" s="5" t="s">
        <v>106</v>
      </c>
      <c r="B15" s="17" t="s">
        <v>107</v>
      </c>
      <c r="C15" s="7" t="s">
        <v>108</v>
      </c>
      <c r="D15" s="5" t="s">
        <v>109</v>
      </c>
      <c r="E15" s="5" t="s">
        <v>101</v>
      </c>
      <c r="F15" s="5" t="s">
        <v>37</v>
      </c>
      <c r="G15" s="5" t="s">
        <v>102</v>
      </c>
      <c r="H15" s="5" t="s">
        <v>110</v>
      </c>
      <c r="I15" s="5" t="s">
        <v>111</v>
      </c>
      <c r="J15" s="8" t="s">
        <v>27</v>
      </c>
      <c r="K15" s="8" t="s">
        <v>28</v>
      </c>
      <c r="L15" s="5" t="s">
        <v>77</v>
      </c>
      <c r="M15" s="5" t="s">
        <v>112</v>
      </c>
      <c r="N15" s="8" t="s">
        <v>31</v>
      </c>
      <c r="O15" s="8" t="s">
        <v>32</v>
      </c>
    </row>
    <row r="16" customFormat="false" ht="26.25" hidden="false" customHeight="true" outlineLevel="0" collapsed="false">
      <c r="A16" s="5" t="s">
        <v>113</v>
      </c>
      <c r="B16" s="18" t="s">
        <v>114</v>
      </c>
      <c r="C16" s="7" t="s">
        <v>115</v>
      </c>
      <c r="D16" s="5" t="s">
        <v>116</v>
      </c>
      <c r="E16" s="5" t="s">
        <v>101</v>
      </c>
      <c r="F16" s="5" t="s">
        <v>37</v>
      </c>
      <c r="G16" s="5" t="s">
        <v>117</v>
      </c>
      <c r="H16" s="5" t="s">
        <v>118</v>
      </c>
      <c r="I16" s="5" t="s">
        <v>119</v>
      </c>
      <c r="J16" s="8" t="s">
        <v>27</v>
      </c>
      <c r="K16" s="8" t="s">
        <v>28</v>
      </c>
      <c r="L16" s="5" t="s">
        <v>120</v>
      </c>
      <c r="M16" s="5" t="s">
        <v>121</v>
      </c>
      <c r="N16" s="8" t="s">
        <v>31</v>
      </c>
      <c r="O16" s="8" t="s">
        <v>32</v>
      </c>
    </row>
    <row r="17" customFormat="false" ht="26.25" hidden="false" customHeight="true" outlineLevel="0" collapsed="false">
      <c r="A17" s="5" t="s">
        <v>122</v>
      </c>
      <c r="B17" s="19" t="s">
        <v>123</v>
      </c>
      <c r="C17" s="7" t="s">
        <v>124</v>
      </c>
      <c r="D17" s="5" t="s">
        <v>125</v>
      </c>
      <c r="E17" s="5" t="s">
        <v>101</v>
      </c>
      <c r="F17" s="5" t="s">
        <v>37</v>
      </c>
      <c r="G17" s="5" t="s">
        <v>126</v>
      </c>
      <c r="H17" s="5" t="s">
        <v>127</v>
      </c>
      <c r="I17" s="5" t="s">
        <v>128</v>
      </c>
      <c r="J17" s="8" t="s">
        <v>27</v>
      </c>
      <c r="K17" s="8" t="s">
        <v>28</v>
      </c>
      <c r="L17" s="5" t="s">
        <v>29</v>
      </c>
      <c r="M17" s="5" t="s">
        <v>129</v>
      </c>
      <c r="N17" s="8" t="s">
        <v>31</v>
      </c>
      <c r="O17" s="8" t="s">
        <v>32</v>
      </c>
    </row>
    <row r="18" customFormat="false" ht="26.25" hidden="false" customHeight="true" outlineLevel="0" collapsed="false">
      <c r="A18" s="5" t="s">
        <v>130</v>
      </c>
      <c r="B18" s="20" t="s">
        <v>131</v>
      </c>
      <c r="C18" s="7" t="s">
        <v>132</v>
      </c>
      <c r="D18" s="5" t="s">
        <v>133</v>
      </c>
      <c r="E18" s="5" t="s">
        <v>134</v>
      </c>
      <c r="F18" s="5" t="s">
        <v>135</v>
      </c>
      <c r="G18" s="5" t="s">
        <v>136</v>
      </c>
      <c r="H18" s="5" t="s">
        <v>37</v>
      </c>
      <c r="I18" s="5" t="s">
        <v>137</v>
      </c>
      <c r="J18" s="8" t="s">
        <v>27</v>
      </c>
      <c r="K18" s="8" t="s">
        <v>28</v>
      </c>
      <c r="L18" s="5" t="s">
        <v>29</v>
      </c>
      <c r="M18" s="5" t="s">
        <v>138</v>
      </c>
      <c r="N18" s="8" t="s">
        <v>31</v>
      </c>
      <c r="O18" s="8" t="s">
        <v>32</v>
      </c>
    </row>
    <row r="19" customFormat="false" ht="39" hidden="false" customHeight="true" outlineLevel="0" collapsed="false">
      <c r="A19" s="5" t="s">
        <v>139</v>
      </c>
      <c r="B19" s="21" t="s">
        <v>140</v>
      </c>
      <c r="C19" s="7" t="s">
        <v>141</v>
      </c>
      <c r="D19" s="5" t="s">
        <v>142</v>
      </c>
      <c r="E19" s="5" t="s">
        <v>134</v>
      </c>
      <c r="F19" s="5" t="s">
        <v>143</v>
      </c>
      <c r="G19" s="5" t="s">
        <v>144</v>
      </c>
      <c r="H19" s="5" t="s">
        <v>145</v>
      </c>
      <c r="I19" s="5" t="s">
        <v>146</v>
      </c>
      <c r="J19" s="8" t="s">
        <v>147</v>
      </c>
      <c r="K19" s="8" t="s">
        <v>28</v>
      </c>
      <c r="L19" s="5" t="s">
        <v>29</v>
      </c>
      <c r="M19" s="5" t="s">
        <v>148</v>
      </c>
      <c r="N19" s="8" t="s">
        <v>149</v>
      </c>
      <c r="O19" s="8" t="s">
        <v>32</v>
      </c>
    </row>
    <row r="20" customFormat="false" ht="66" hidden="false" customHeight="true" outlineLevel="0" collapsed="false">
      <c r="A20" s="5" t="s">
        <v>150</v>
      </c>
      <c r="B20" s="8" t="s">
        <v>151</v>
      </c>
      <c r="C20" s="7" t="s">
        <v>152</v>
      </c>
      <c r="D20" s="5" t="s">
        <v>153</v>
      </c>
      <c r="E20" s="5" t="s">
        <v>134</v>
      </c>
      <c r="F20" s="5" t="s">
        <v>154</v>
      </c>
      <c r="G20" s="5" t="s">
        <v>155</v>
      </c>
      <c r="H20" s="5" t="s">
        <v>156</v>
      </c>
      <c r="I20" s="5" t="s">
        <v>157</v>
      </c>
      <c r="J20" s="8"/>
      <c r="K20" s="8" t="s">
        <v>95</v>
      </c>
      <c r="L20" s="5" t="s">
        <v>29</v>
      </c>
      <c r="M20" s="5" t="s">
        <v>96</v>
      </c>
      <c r="N20" s="8"/>
      <c r="O20" s="8"/>
    </row>
    <row r="21" customFormat="false" ht="26.25" hidden="false" customHeight="true" outlineLevel="0" collapsed="false">
      <c r="A21" s="5" t="s">
        <v>158</v>
      </c>
      <c r="B21" s="22" t="s">
        <v>159</v>
      </c>
      <c r="C21" s="7" t="s">
        <v>160</v>
      </c>
      <c r="D21" s="5" t="s">
        <v>161</v>
      </c>
      <c r="E21" s="5" t="s">
        <v>134</v>
      </c>
      <c r="F21" s="5" t="s">
        <v>162</v>
      </c>
      <c r="G21" s="5" t="s">
        <v>163</v>
      </c>
      <c r="H21" s="5" t="s">
        <v>37</v>
      </c>
      <c r="I21" s="5" t="s">
        <v>164</v>
      </c>
      <c r="J21" s="8"/>
      <c r="K21" s="8" t="s">
        <v>95</v>
      </c>
      <c r="L21" s="5" t="s">
        <v>77</v>
      </c>
      <c r="M21" s="5" t="s">
        <v>96</v>
      </c>
      <c r="N21" s="8"/>
      <c r="O21" s="8"/>
    </row>
  </sheetData>
  <autoFilter ref="A5:O21"/>
  <conditionalFormatting sqref="K6:K21">
    <cfRule type="expression" priority="2" aboveAverage="0" equalAverage="0" bottom="0" percent="0" rank="0" text="" dxfId="21">
      <formula>K6="Pass"</formula>
    </cfRule>
    <cfRule type="expression" priority="3" aboveAverage="0" equalAverage="0" bottom="0" percent="0" rank="0" text="" dxfId="22">
      <formula>K6="Fail"</formula>
    </cfRule>
    <cfRule type="expression" priority="4" aboveAverage="0" equalAverage="0" bottom="0" percent="0" rank="0" text="" dxfId="23">
      <formula>K6="Blocked"</formula>
    </cfRule>
  </conditionalFormatting>
  <dataValidations count="2">
    <dataValidation allowBlank="true" errorStyle="stop" operator="between" showDropDown="false" showErrorMessage="false" showInputMessage="false" sqref="K6:K21" type="list">
      <formula1>"Pass,Fail,Blocked,Not Run"</formula1>
      <formula2>0</formula2>
    </dataValidation>
    <dataValidation allowBlank="true" errorStyle="stop" operator="between" showDropDown="false" showErrorMessage="false" showInputMessage="false" sqref="L6:L2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4" t="s">
        <v>165</v>
      </c>
      <c r="B1" s="4" t="s">
        <v>4</v>
      </c>
      <c r="C1" s="4" t="s">
        <v>166</v>
      </c>
      <c r="D1" s="4" t="s">
        <v>167</v>
      </c>
      <c r="E1" s="4" t="s">
        <v>168</v>
      </c>
      <c r="F1" s="4" t="s">
        <v>169</v>
      </c>
    </row>
    <row r="2" customFormat="false" ht="26.25" hidden="false" customHeight="true" outlineLevel="0" collapsed="false">
      <c r="A2" s="5" t="n">
        <v>1</v>
      </c>
      <c r="B2" s="23" t="s">
        <v>131</v>
      </c>
      <c r="C2" s="5" t="s">
        <v>170</v>
      </c>
      <c r="D2" s="5" t="s">
        <v>171</v>
      </c>
      <c r="E2" s="5" t="s">
        <v>172</v>
      </c>
      <c r="F2" s="5" t="n">
        <f aca="false">COUNTIF('Test Cases'!$B$6:$B$21,B2)</f>
        <v>1</v>
      </c>
    </row>
    <row r="3" customFormat="false" ht="26.25" hidden="false" customHeight="true" outlineLevel="0" collapsed="false">
      <c r="A3" s="5" t="n">
        <v>2</v>
      </c>
      <c r="B3" s="24" t="s">
        <v>19</v>
      </c>
      <c r="C3" s="5" t="s">
        <v>173</v>
      </c>
      <c r="D3" s="5" t="s">
        <v>174</v>
      </c>
      <c r="E3" s="5" t="s">
        <v>175</v>
      </c>
      <c r="F3" s="5" t="n">
        <f aca="false">COUNTIF('Test Cases'!$B$6:$B$21,B3)</f>
        <v>1</v>
      </c>
    </row>
    <row r="4" customFormat="false" ht="26.25" hidden="false" customHeight="true" outlineLevel="0" collapsed="false">
      <c r="A4" s="5" t="n">
        <v>3</v>
      </c>
      <c r="B4" s="25" t="s">
        <v>34</v>
      </c>
      <c r="C4" s="5" t="s">
        <v>176</v>
      </c>
      <c r="D4" s="5" t="s">
        <v>177</v>
      </c>
      <c r="E4" s="5" t="s">
        <v>178</v>
      </c>
      <c r="F4" s="5" t="n">
        <f aca="false">COUNTIF('Test Cases'!$B$6:$B$21,B4)</f>
        <v>1</v>
      </c>
    </row>
    <row r="5" customFormat="false" ht="26.25" hidden="false" customHeight="true" outlineLevel="0" collapsed="false">
      <c r="A5" s="5" t="n">
        <v>4</v>
      </c>
      <c r="B5" s="26" t="s">
        <v>52</v>
      </c>
      <c r="C5" s="5" t="s">
        <v>179</v>
      </c>
      <c r="D5" s="5" t="s">
        <v>180</v>
      </c>
      <c r="E5" s="5" t="s">
        <v>181</v>
      </c>
      <c r="F5" s="5" t="n">
        <f aca="false">COUNTIF('Test Cases'!$B$6:$B$21,B5)</f>
        <v>1</v>
      </c>
    </row>
    <row r="6" customFormat="false" ht="26.25" hidden="false" customHeight="true" outlineLevel="0" collapsed="false">
      <c r="A6" s="5" t="n">
        <v>5</v>
      </c>
      <c r="B6" s="27" t="s">
        <v>151</v>
      </c>
      <c r="C6" s="5" t="s">
        <v>182</v>
      </c>
      <c r="D6" s="5" t="s">
        <v>183</v>
      </c>
      <c r="E6" s="5" t="s">
        <v>184</v>
      </c>
      <c r="F6" s="5" t="n">
        <f aca="false">COUNTIF('Test Cases'!$B$6:$B$21,B6)</f>
        <v>1</v>
      </c>
    </row>
    <row r="7" customFormat="false" ht="26.25" hidden="false" customHeight="true" outlineLevel="0" collapsed="false">
      <c r="A7" s="5" t="n">
        <v>6</v>
      </c>
      <c r="B7" s="28" t="s">
        <v>61</v>
      </c>
      <c r="C7" s="5" t="s">
        <v>185</v>
      </c>
      <c r="D7" s="5" t="s">
        <v>186</v>
      </c>
      <c r="E7" s="5" t="s">
        <v>187</v>
      </c>
      <c r="F7" s="5" t="n">
        <f aca="false">COUNTIF('Test Cases'!$B$6:$B$21,B7)</f>
        <v>1</v>
      </c>
    </row>
    <row r="8" customFormat="false" ht="26.25" hidden="false" customHeight="true" outlineLevel="0" collapsed="false">
      <c r="A8" s="5" t="n">
        <v>7</v>
      </c>
      <c r="B8" s="29" t="s">
        <v>43</v>
      </c>
      <c r="C8" s="5" t="s">
        <v>188</v>
      </c>
      <c r="D8" s="5" t="s">
        <v>189</v>
      </c>
      <c r="E8" s="5" t="s">
        <v>190</v>
      </c>
      <c r="F8" s="5" t="n">
        <f aca="false">COUNTIF('Test Cases'!$B$6:$B$21,B8)</f>
        <v>1</v>
      </c>
    </row>
    <row r="9" customFormat="false" ht="26.25" hidden="false" customHeight="true" outlineLevel="0" collapsed="false">
      <c r="A9" s="5" t="n">
        <v>8</v>
      </c>
      <c r="B9" s="30" t="s">
        <v>71</v>
      </c>
      <c r="C9" s="5" t="s">
        <v>191</v>
      </c>
      <c r="D9" s="5" t="s">
        <v>192</v>
      </c>
      <c r="E9" s="5" t="s">
        <v>193</v>
      </c>
      <c r="F9" s="5" t="n">
        <f aca="false">COUNTIF('Test Cases'!$B$6:$B$21,B9)</f>
        <v>1</v>
      </c>
    </row>
    <row r="10" customFormat="false" ht="26.25" hidden="false" customHeight="true" outlineLevel="0" collapsed="false">
      <c r="A10" s="5" t="n">
        <v>9</v>
      </c>
      <c r="B10" s="31" t="s">
        <v>123</v>
      </c>
      <c r="C10" s="5" t="s">
        <v>194</v>
      </c>
      <c r="D10" s="5" t="s">
        <v>195</v>
      </c>
      <c r="E10" s="5" t="s">
        <v>196</v>
      </c>
      <c r="F10" s="5" t="n">
        <f aca="false">COUNTIF('Test Cases'!$B$6:$B$21,B10)</f>
        <v>1</v>
      </c>
    </row>
    <row r="11" customFormat="false" ht="26.25" hidden="false" customHeight="true" outlineLevel="0" collapsed="false">
      <c r="A11" s="5" t="n">
        <v>10</v>
      </c>
      <c r="B11" s="32" t="s">
        <v>114</v>
      </c>
      <c r="C11" s="5" t="s">
        <v>197</v>
      </c>
      <c r="D11" s="5" t="s">
        <v>198</v>
      </c>
      <c r="E11" s="5" t="s">
        <v>199</v>
      </c>
      <c r="F11" s="5" t="n">
        <f aca="false">COUNTIF('Test Cases'!$B$6:$B$21,B11)</f>
        <v>1</v>
      </c>
    </row>
    <row r="12" customFormat="false" ht="26.25" hidden="false" customHeight="true" outlineLevel="0" collapsed="false">
      <c r="A12" s="5" t="n">
        <v>11</v>
      </c>
      <c r="B12" s="33" t="s">
        <v>80</v>
      </c>
      <c r="C12" s="5" t="s">
        <v>200</v>
      </c>
      <c r="D12" s="5" t="s">
        <v>201</v>
      </c>
      <c r="E12" s="5" t="s">
        <v>202</v>
      </c>
      <c r="F12" s="5" t="n">
        <f aca="false">COUNTIF('Test Cases'!$B$6:$B$21,B12)</f>
        <v>1</v>
      </c>
    </row>
    <row r="13" customFormat="false" ht="26.25" hidden="false" customHeight="true" outlineLevel="0" collapsed="false">
      <c r="A13" s="5" t="n">
        <v>12</v>
      </c>
      <c r="B13" s="34" t="s">
        <v>140</v>
      </c>
      <c r="C13" s="5" t="s">
        <v>203</v>
      </c>
      <c r="D13" s="5" t="s">
        <v>204</v>
      </c>
      <c r="E13" s="5" t="s">
        <v>205</v>
      </c>
      <c r="F13" s="5" t="n">
        <f aca="false">COUNTIF('Test Cases'!$B$6:$B$21,B13)</f>
        <v>1</v>
      </c>
    </row>
    <row r="14" customFormat="false" ht="26.25" hidden="false" customHeight="true" outlineLevel="0" collapsed="false">
      <c r="A14" s="5" t="n">
        <v>13</v>
      </c>
      <c r="B14" s="35" t="s">
        <v>98</v>
      </c>
      <c r="C14" s="5" t="s">
        <v>206</v>
      </c>
      <c r="D14" s="5" t="s">
        <v>207</v>
      </c>
      <c r="E14" s="5" t="s">
        <v>208</v>
      </c>
      <c r="F14" s="5" t="n">
        <f aca="false">COUNTIF('Test Cases'!$B$6:$B$21,B14)</f>
        <v>1</v>
      </c>
    </row>
    <row r="15" customFormat="false" ht="26.25" hidden="false" customHeight="true" outlineLevel="0" collapsed="false">
      <c r="A15" s="5" t="n">
        <v>14</v>
      </c>
      <c r="B15" s="36" t="s">
        <v>89</v>
      </c>
      <c r="C15" s="5" t="s">
        <v>209</v>
      </c>
      <c r="D15" s="5" t="s">
        <v>210</v>
      </c>
      <c r="E15" s="5" t="s">
        <v>211</v>
      </c>
      <c r="F15" s="5" t="n">
        <f aca="false">COUNTIF('Test Cases'!$B$6:$B$21,B15)</f>
        <v>1</v>
      </c>
    </row>
    <row r="16" customFormat="false" ht="26.25" hidden="false" customHeight="true" outlineLevel="0" collapsed="false">
      <c r="A16" s="5" t="n">
        <v>15</v>
      </c>
      <c r="B16" s="37" t="s">
        <v>107</v>
      </c>
      <c r="C16" s="5" t="s">
        <v>212</v>
      </c>
      <c r="D16" s="5" t="s">
        <v>213</v>
      </c>
      <c r="E16" s="5" t="s">
        <v>214</v>
      </c>
      <c r="F16" s="5" t="n">
        <f aca="false">COUNTIF('Test Cases'!$B$6:$B$21,B16)</f>
        <v>1</v>
      </c>
    </row>
    <row r="17" customFormat="false" ht="26.25" hidden="false" customHeight="true" outlineLevel="0" collapsed="false">
      <c r="A17" s="5" t="n">
        <v>16</v>
      </c>
      <c r="B17" s="38" t="s">
        <v>159</v>
      </c>
      <c r="C17" s="5" t="s">
        <v>215</v>
      </c>
      <c r="D17" s="5" t="s">
        <v>216</v>
      </c>
      <c r="E17" s="5" t="s">
        <v>217</v>
      </c>
      <c r="F17" s="5" t="n">
        <f aca="false">COUNTIF('Test Cases'!$B$6:$B$21,B17)</f>
        <v>1</v>
      </c>
    </row>
    <row r="18" customFormat="false" ht="14.25" hidden="false" customHeight="false" outlineLevel="0" collapsed="false">
      <c r="B18" s="39" t="s">
        <v>218</v>
      </c>
      <c r="F18" s="39" t="n">
        <f aca="false">SUM(F2:F17)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9"/>
    <col collapsed="false" customWidth="true" hidden="false" outlineLevel="0" max="7" min="6" style="0" width="10"/>
  </cols>
  <sheetData>
    <row r="1" customFormat="false" ht="17.25" hidden="false" customHeight="true" outlineLevel="0" collapsed="false">
      <c r="A1" s="1" t="s">
        <v>219</v>
      </c>
    </row>
    <row r="2" customFormat="false" ht="14.25" hidden="false" customHeight="false" outlineLevel="0" collapsed="false">
      <c r="A2" s="2" t="s">
        <v>220</v>
      </c>
    </row>
    <row r="4" customFormat="false" ht="30" hidden="false" customHeight="true" outlineLevel="0" collapsed="false">
      <c r="A4" s="4" t="s">
        <v>4</v>
      </c>
      <c r="B4" s="4" t="s">
        <v>218</v>
      </c>
      <c r="C4" s="4" t="s">
        <v>28</v>
      </c>
      <c r="D4" s="4" t="s">
        <v>221</v>
      </c>
      <c r="E4" s="4" t="s">
        <v>222</v>
      </c>
      <c r="F4" s="4" t="s">
        <v>95</v>
      </c>
      <c r="G4" s="4" t="s">
        <v>223</v>
      </c>
    </row>
    <row r="5" customFormat="false" ht="14.25" hidden="false" customHeight="false" outlineLevel="0" collapsed="false">
      <c r="A5" s="40" t="s">
        <v>131</v>
      </c>
      <c r="B5" s="40" t="n">
        <f aca="false">COUNTIF('Test Cases'!$B$6:$B$21,A5)</f>
        <v>1</v>
      </c>
      <c r="C5" s="40" t="n">
        <f aca="false">COUNTIFS('Test Cases'!$B$6:$B$21,A5,'Test Cases'!$K$6:$K$21,"Pass")</f>
        <v>1</v>
      </c>
      <c r="D5" s="40" t="n">
        <f aca="false">COUNTIFS('Test Cases'!$B$6:$B$21,A5,'Test Cases'!$K$6:$K$21,"Fail")</f>
        <v>0</v>
      </c>
      <c r="E5" s="40" t="n">
        <f aca="false">COUNTIFS('Test Cases'!$B$6:$B$21,A5,'Test Cases'!$K$6:$K$21,"Blocked")</f>
        <v>0</v>
      </c>
      <c r="F5" s="40" t="n">
        <f aca="false">COUNTIFS('Test Cases'!$B$6:$B$21,A5,'Test Cases'!$K$6:$K$21,"Not Run")</f>
        <v>0</v>
      </c>
      <c r="G5" s="41" t="n">
        <f aca="false">IF(B5=0,0,C5/B5)</f>
        <v>1</v>
      </c>
    </row>
    <row r="6" customFormat="false" ht="14.25" hidden="false" customHeight="false" outlineLevel="0" collapsed="false">
      <c r="A6" s="40" t="s">
        <v>19</v>
      </c>
      <c r="B6" s="40" t="n">
        <f aca="false">COUNTIF('Test Cases'!$B$6:$B$21,A6)</f>
        <v>1</v>
      </c>
      <c r="C6" s="40" t="n">
        <f aca="false">COUNTIFS('Test Cases'!$B$6:$B$21,A6,'Test Cases'!$K$6:$K$21,"Pass")</f>
        <v>1</v>
      </c>
      <c r="D6" s="40" t="n">
        <f aca="false">COUNTIFS('Test Cases'!$B$6:$B$21,A6,'Test Cases'!$K$6:$K$21,"Fail")</f>
        <v>0</v>
      </c>
      <c r="E6" s="40" t="n">
        <f aca="false">COUNTIFS('Test Cases'!$B$6:$B$21,A6,'Test Cases'!$K$6:$K$21,"Blocked")</f>
        <v>0</v>
      </c>
      <c r="F6" s="40" t="n">
        <f aca="false">COUNTIFS('Test Cases'!$B$6:$B$21,A6,'Test Cases'!$K$6:$K$21,"Not Run")</f>
        <v>0</v>
      </c>
      <c r="G6" s="41" t="n">
        <f aca="false">IF(B6=0,0,C6/B6)</f>
        <v>1</v>
      </c>
    </row>
    <row r="7" customFormat="false" ht="14.25" hidden="false" customHeight="false" outlineLevel="0" collapsed="false">
      <c r="A7" s="40" t="s">
        <v>34</v>
      </c>
      <c r="B7" s="40" t="n">
        <f aca="false">COUNTIF('Test Cases'!$B$6:$B$21,A7)</f>
        <v>1</v>
      </c>
      <c r="C7" s="40" t="n">
        <f aca="false">COUNTIFS('Test Cases'!$B$6:$B$21,A7,'Test Cases'!$K$6:$K$21,"Pass")</f>
        <v>1</v>
      </c>
      <c r="D7" s="40" t="n">
        <f aca="false">COUNTIFS('Test Cases'!$B$6:$B$21,A7,'Test Cases'!$K$6:$K$21,"Fail")</f>
        <v>0</v>
      </c>
      <c r="E7" s="40" t="n">
        <f aca="false">COUNTIFS('Test Cases'!$B$6:$B$21,A7,'Test Cases'!$K$6:$K$21,"Blocked")</f>
        <v>0</v>
      </c>
      <c r="F7" s="40" t="n">
        <f aca="false">COUNTIFS('Test Cases'!$B$6:$B$21,A7,'Test Cases'!$K$6:$K$21,"Not Run")</f>
        <v>0</v>
      </c>
      <c r="G7" s="41" t="n">
        <f aca="false">IF(B7=0,0,C7/B7)</f>
        <v>1</v>
      </c>
    </row>
    <row r="8" customFormat="false" ht="14.25" hidden="false" customHeight="false" outlineLevel="0" collapsed="false">
      <c r="A8" s="40" t="s">
        <v>52</v>
      </c>
      <c r="B8" s="40" t="n">
        <f aca="false">COUNTIF('Test Cases'!$B$6:$B$21,A8)</f>
        <v>1</v>
      </c>
      <c r="C8" s="40" t="n">
        <f aca="false">COUNTIFS('Test Cases'!$B$6:$B$21,A8,'Test Cases'!$K$6:$K$21,"Pass")</f>
        <v>1</v>
      </c>
      <c r="D8" s="40" t="n">
        <f aca="false">COUNTIFS('Test Cases'!$B$6:$B$21,A8,'Test Cases'!$K$6:$K$21,"Fail")</f>
        <v>0</v>
      </c>
      <c r="E8" s="40" t="n">
        <f aca="false">COUNTIFS('Test Cases'!$B$6:$B$21,A8,'Test Cases'!$K$6:$K$21,"Blocked")</f>
        <v>0</v>
      </c>
      <c r="F8" s="40" t="n">
        <f aca="false">COUNTIFS('Test Cases'!$B$6:$B$21,A8,'Test Cases'!$K$6:$K$21,"Not Run")</f>
        <v>0</v>
      </c>
      <c r="G8" s="41" t="n">
        <f aca="false">IF(B8=0,0,C8/B8)</f>
        <v>1</v>
      </c>
    </row>
    <row r="9" customFormat="false" ht="14.25" hidden="false" customHeight="false" outlineLevel="0" collapsed="false">
      <c r="A9" s="40" t="s">
        <v>151</v>
      </c>
      <c r="B9" s="40" t="n">
        <f aca="false">COUNTIF('Test Cases'!$B$6:$B$21,A9)</f>
        <v>1</v>
      </c>
      <c r="C9" s="40" t="n">
        <f aca="false">COUNTIFS('Test Cases'!$B$6:$B$21,A9,'Test Cases'!$K$6:$K$21,"Pass")</f>
        <v>0</v>
      </c>
      <c r="D9" s="40" t="n">
        <f aca="false">COUNTIFS('Test Cases'!$B$6:$B$21,A9,'Test Cases'!$K$6:$K$21,"Fail")</f>
        <v>0</v>
      </c>
      <c r="E9" s="40" t="n">
        <f aca="false">COUNTIFS('Test Cases'!$B$6:$B$21,A9,'Test Cases'!$K$6:$K$21,"Blocked")</f>
        <v>0</v>
      </c>
      <c r="F9" s="40" t="n">
        <f aca="false">COUNTIFS('Test Cases'!$B$6:$B$21,A9,'Test Cases'!$K$6:$K$21,"Not Run")</f>
        <v>1</v>
      </c>
      <c r="G9" s="41" t="n">
        <f aca="false">IF(B9=0,0,C9/B9)</f>
        <v>0</v>
      </c>
    </row>
    <row r="10" customFormat="false" ht="14.25" hidden="false" customHeight="false" outlineLevel="0" collapsed="false">
      <c r="A10" s="40" t="s">
        <v>61</v>
      </c>
      <c r="B10" s="40" t="n">
        <f aca="false">COUNTIF('Test Cases'!$B$6:$B$21,A10)</f>
        <v>1</v>
      </c>
      <c r="C10" s="40" t="n">
        <f aca="false">COUNTIFS('Test Cases'!$B$6:$B$21,A10,'Test Cases'!$K$6:$K$21,"Pass")</f>
        <v>1</v>
      </c>
      <c r="D10" s="40" t="n">
        <f aca="false">COUNTIFS('Test Cases'!$B$6:$B$21,A10,'Test Cases'!$K$6:$K$21,"Fail")</f>
        <v>0</v>
      </c>
      <c r="E10" s="40" t="n">
        <f aca="false">COUNTIFS('Test Cases'!$B$6:$B$21,A10,'Test Cases'!$K$6:$K$21,"Blocked")</f>
        <v>0</v>
      </c>
      <c r="F10" s="40" t="n">
        <f aca="false">COUNTIFS('Test Cases'!$B$6:$B$21,A10,'Test Cases'!$K$6:$K$21,"Not Run")</f>
        <v>0</v>
      </c>
      <c r="G10" s="41" t="n">
        <f aca="false">IF(B10=0,0,C10/B10)</f>
        <v>1</v>
      </c>
    </row>
    <row r="11" customFormat="false" ht="14.25" hidden="false" customHeight="false" outlineLevel="0" collapsed="false">
      <c r="A11" s="40" t="s">
        <v>43</v>
      </c>
      <c r="B11" s="40" t="n">
        <f aca="false">COUNTIF('Test Cases'!$B$6:$B$21,A11)</f>
        <v>1</v>
      </c>
      <c r="C11" s="40" t="n">
        <f aca="false">COUNTIFS('Test Cases'!$B$6:$B$21,A11,'Test Cases'!$K$6:$K$21,"Pass")</f>
        <v>1</v>
      </c>
      <c r="D11" s="40" t="n">
        <f aca="false">COUNTIFS('Test Cases'!$B$6:$B$21,A11,'Test Cases'!$K$6:$K$21,"Fail")</f>
        <v>0</v>
      </c>
      <c r="E11" s="40" t="n">
        <f aca="false">COUNTIFS('Test Cases'!$B$6:$B$21,A11,'Test Cases'!$K$6:$K$21,"Blocked")</f>
        <v>0</v>
      </c>
      <c r="F11" s="40" t="n">
        <f aca="false">COUNTIFS('Test Cases'!$B$6:$B$21,A11,'Test Cases'!$K$6:$K$21,"Not Run")</f>
        <v>0</v>
      </c>
      <c r="G11" s="41" t="n">
        <f aca="false">IF(B11=0,0,C11/B11)</f>
        <v>1</v>
      </c>
    </row>
    <row r="12" customFormat="false" ht="14.25" hidden="false" customHeight="false" outlineLevel="0" collapsed="false">
      <c r="A12" s="40" t="s">
        <v>71</v>
      </c>
      <c r="B12" s="40" t="n">
        <f aca="false">COUNTIF('Test Cases'!$B$6:$B$21,A12)</f>
        <v>1</v>
      </c>
      <c r="C12" s="40" t="n">
        <f aca="false">COUNTIFS('Test Cases'!$B$6:$B$21,A12,'Test Cases'!$K$6:$K$21,"Pass")</f>
        <v>1</v>
      </c>
      <c r="D12" s="40" t="n">
        <f aca="false">COUNTIFS('Test Cases'!$B$6:$B$21,A12,'Test Cases'!$K$6:$K$21,"Fail")</f>
        <v>0</v>
      </c>
      <c r="E12" s="40" t="n">
        <f aca="false">COUNTIFS('Test Cases'!$B$6:$B$21,A12,'Test Cases'!$K$6:$K$21,"Blocked")</f>
        <v>0</v>
      </c>
      <c r="F12" s="40" t="n">
        <f aca="false">COUNTIFS('Test Cases'!$B$6:$B$21,A12,'Test Cases'!$K$6:$K$21,"Not Run")</f>
        <v>0</v>
      </c>
      <c r="G12" s="41" t="n">
        <f aca="false">IF(B12=0,0,C12/B12)</f>
        <v>1</v>
      </c>
    </row>
    <row r="13" customFormat="false" ht="14.25" hidden="false" customHeight="false" outlineLevel="0" collapsed="false">
      <c r="A13" s="40" t="s">
        <v>123</v>
      </c>
      <c r="B13" s="40" t="n">
        <f aca="false">COUNTIF('Test Cases'!$B$6:$B$21,A13)</f>
        <v>1</v>
      </c>
      <c r="C13" s="40" t="n">
        <f aca="false">COUNTIFS('Test Cases'!$B$6:$B$21,A13,'Test Cases'!$K$6:$K$21,"Pass")</f>
        <v>1</v>
      </c>
      <c r="D13" s="40" t="n">
        <f aca="false">COUNTIFS('Test Cases'!$B$6:$B$21,A13,'Test Cases'!$K$6:$K$21,"Fail")</f>
        <v>0</v>
      </c>
      <c r="E13" s="40" t="n">
        <f aca="false">COUNTIFS('Test Cases'!$B$6:$B$21,A13,'Test Cases'!$K$6:$K$21,"Blocked")</f>
        <v>0</v>
      </c>
      <c r="F13" s="40" t="n">
        <f aca="false">COUNTIFS('Test Cases'!$B$6:$B$21,A13,'Test Cases'!$K$6:$K$21,"Not Run")</f>
        <v>0</v>
      </c>
      <c r="G13" s="41" t="n">
        <f aca="false">IF(B13=0,0,C13/B13)</f>
        <v>1</v>
      </c>
    </row>
    <row r="14" customFormat="false" ht="14.25" hidden="false" customHeight="false" outlineLevel="0" collapsed="false">
      <c r="A14" s="40" t="s">
        <v>114</v>
      </c>
      <c r="B14" s="40" t="n">
        <f aca="false">COUNTIF('Test Cases'!$B$6:$B$21,A14)</f>
        <v>1</v>
      </c>
      <c r="C14" s="40" t="n">
        <f aca="false">COUNTIFS('Test Cases'!$B$6:$B$21,A14,'Test Cases'!$K$6:$K$21,"Pass")</f>
        <v>1</v>
      </c>
      <c r="D14" s="40" t="n">
        <f aca="false">COUNTIFS('Test Cases'!$B$6:$B$21,A14,'Test Cases'!$K$6:$K$21,"Fail")</f>
        <v>0</v>
      </c>
      <c r="E14" s="40" t="n">
        <f aca="false">COUNTIFS('Test Cases'!$B$6:$B$21,A14,'Test Cases'!$K$6:$K$21,"Blocked")</f>
        <v>0</v>
      </c>
      <c r="F14" s="40" t="n">
        <f aca="false">COUNTIFS('Test Cases'!$B$6:$B$21,A14,'Test Cases'!$K$6:$K$21,"Not Run")</f>
        <v>0</v>
      </c>
      <c r="G14" s="41" t="n">
        <f aca="false">IF(B14=0,0,C14/B14)</f>
        <v>1</v>
      </c>
    </row>
    <row r="15" customFormat="false" ht="14.25" hidden="false" customHeight="false" outlineLevel="0" collapsed="false">
      <c r="A15" s="40" t="s">
        <v>80</v>
      </c>
      <c r="B15" s="40" t="n">
        <f aca="false">COUNTIF('Test Cases'!$B$6:$B$21,A15)</f>
        <v>1</v>
      </c>
      <c r="C15" s="40" t="n">
        <f aca="false">COUNTIFS('Test Cases'!$B$6:$B$21,A15,'Test Cases'!$K$6:$K$21,"Pass")</f>
        <v>1</v>
      </c>
      <c r="D15" s="40" t="n">
        <f aca="false">COUNTIFS('Test Cases'!$B$6:$B$21,A15,'Test Cases'!$K$6:$K$21,"Fail")</f>
        <v>0</v>
      </c>
      <c r="E15" s="40" t="n">
        <f aca="false">COUNTIFS('Test Cases'!$B$6:$B$21,A15,'Test Cases'!$K$6:$K$21,"Blocked")</f>
        <v>0</v>
      </c>
      <c r="F15" s="40" t="n">
        <f aca="false">COUNTIFS('Test Cases'!$B$6:$B$21,A15,'Test Cases'!$K$6:$K$21,"Not Run")</f>
        <v>0</v>
      </c>
      <c r="G15" s="41" t="n">
        <f aca="false">IF(B15=0,0,C15/B15)</f>
        <v>1</v>
      </c>
    </row>
    <row r="16" customFormat="false" ht="14.25" hidden="false" customHeight="false" outlineLevel="0" collapsed="false">
      <c r="A16" s="40" t="s">
        <v>140</v>
      </c>
      <c r="B16" s="40" t="n">
        <f aca="false">COUNTIF('Test Cases'!$B$6:$B$21,A16)</f>
        <v>1</v>
      </c>
      <c r="C16" s="40" t="n">
        <f aca="false">COUNTIFS('Test Cases'!$B$6:$B$21,A16,'Test Cases'!$K$6:$K$21,"Pass")</f>
        <v>1</v>
      </c>
      <c r="D16" s="40" t="n">
        <f aca="false">COUNTIFS('Test Cases'!$B$6:$B$21,A16,'Test Cases'!$K$6:$K$21,"Fail")</f>
        <v>0</v>
      </c>
      <c r="E16" s="40" t="n">
        <f aca="false">COUNTIFS('Test Cases'!$B$6:$B$21,A16,'Test Cases'!$K$6:$K$21,"Blocked")</f>
        <v>0</v>
      </c>
      <c r="F16" s="40" t="n">
        <f aca="false">COUNTIFS('Test Cases'!$B$6:$B$21,A16,'Test Cases'!$K$6:$K$21,"Not Run")</f>
        <v>0</v>
      </c>
      <c r="G16" s="41" t="n">
        <f aca="false">IF(B16=0,0,C16/B16)</f>
        <v>1</v>
      </c>
    </row>
    <row r="17" customFormat="false" ht="14.25" hidden="false" customHeight="false" outlineLevel="0" collapsed="false">
      <c r="A17" s="40" t="s">
        <v>98</v>
      </c>
      <c r="B17" s="40" t="n">
        <f aca="false">COUNTIF('Test Cases'!$B$6:$B$21,A17)</f>
        <v>1</v>
      </c>
      <c r="C17" s="40" t="n">
        <f aca="false">COUNTIFS('Test Cases'!$B$6:$B$21,A17,'Test Cases'!$K$6:$K$21,"Pass")</f>
        <v>1</v>
      </c>
      <c r="D17" s="40" t="n">
        <f aca="false">COUNTIFS('Test Cases'!$B$6:$B$21,A17,'Test Cases'!$K$6:$K$21,"Fail")</f>
        <v>0</v>
      </c>
      <c r="E17" s="40" t="n">
        <f aca="false">COUNTIFS('Test Cases'!$B$6:$B$21,A17,'Test Cases'!$K$6:$K$21,"Blocked")</f>
        <v>0</v>
      </c>
      <c r="F17" s="40" t="n">
        <f aca="false">COUNTIFS('Test Cases'!$B$6:$B$21,A17,'Test Cases'!$K$6:$K$21,"Not Run")</f>
        <v>0</v>
      </c>
      <c r="G17" s="41" t="n">
        <f aca="false">IF(B17=0,0,C17/B17)</f>
        <v>1</v>
      </c>
    </row>
    <row r="18" customFormat="false" ht="14.25" hidden="false" customHeight="false" outlineLevel="0" collapsed="false">
      <c r="A18" s="40" t="s">
        <v>89</v>
      </c>
      <c r="B18" s="40" t="n">
        <f aca="false">COUNTIF('Test Cases'!$B$6:$B$21,A18)</f>
        <v>1</v>
      </c>
      <c r="C18" s="40" t="n">
        <f aca="false">COUNTIFS('Test Cases'!$B$6:$B$21,A18,'Test Cases'!$K$6:$K$21,"Pass")</f>
        <v>0</v>
      </c>
      <c r="D18" s="40" t="n">
        <f aca="false">COUNTIFS('Test Cases'!$B$6:$B$21,A18,'Test Cases'!$K$6:$K$21,"Fail")</f>
        <v>0</v>
      </c>
      <c r="E18" s="40" t="n">
        <f aca="false">COUNTIFS('Test Cases'!$B$6:$B$21,A18,'Test Cases'!$K$6:$K$21,"Blocked")</f>
        <v>0</v>
      </c>
      <c r="F18" s="40" t="n">
        <f aca="false">COUNTIFS('Test Cases'!$B$6:$B$21,A18,'Test Cases'!$K$6:$K$21,"Not Run")</f>
        <v>1</v>
      </c>
      <c r="G18" s="41" t="n">
        <f aca="false">IF(B18=0,0,C18/B18)</f>
        <v>0</v>
      </c>
    </row>
    <row r="19" customFormat="false" ht="14.25" hidden="false" customHeight="false" outlineLevel="0" collapsed="false">
      <c r="A19" s="40" t="s">
        <v>107</v>
      </c>
      <c r="B19" s="40" t="n">
        <f aca="false">COUNTIF('Test Cases'!$B$6:$B$21,A19)</f>
        <v>1</v>
      </c>
      <c r="C19" s="40" t="n">
        <f aca="false">COUNTIFS('Test Cases'!$B$6:$B$21,A19,'Test Cases'!$K$6:$K$21,"Pass")</f>
        <v>1</v>
      </c>
      <c r="D19" s="40" t="n">
        <f aca="false">COUNTIFS('Test Cases'!$B$6:$B$21,A19,'Test Cases'!$K$6:$K$21,"Fail")</f>
        <v>0</v>
      </c>
      <c r="E19" s="40" t="n">
        <f aca="false">COUNTIFS('Test Cases'!$B$6:$B$21,A19,'Test Cases'!$K$6:$K$21,"Blocked")</f>
        <v>0</v>
      </c>
      <c r="F19" s="40" t="n">
        <f aca="false">COUNTIFS('Test Cases'!$B$6:$B$21,A19,'Test Cases'!$K$6:$K$21,"Not Run")</f>
        <v>0</v>
      </c>
      <c r="G19" s="41" t="n">
        <f aca="false">IF(B19=0,0,C19/B19)</f>
        <v>1</v>
      </c>
    </row>
    <row r="20" customFormat="false" ht="14.25" hidden="false" customHeight="false" outlineLevel="0" collapsed="false">
      <c r="A20" s="40" t="s">
        <v>159</v>
      </c>
      <c r="B20" s="40" t="n">
        <f aca="false">COUNTIF('Test Cases'!$B$6:$B$21,A20)</f>
        <v>1</v>
      </c>
      <c r="C20" s="40" t="n">
        <f aca="false">COUNTIFS('Test Cases'!$B$6:$B$21,A20,'Test Cases'!$K$6:$K$21,"Pass")</f>
        <v>0</v>
      </c>
      <c r="D20" s="40" t="n">
        <f aca="false">COUNTIFS('Test Cases'!$B$6:$B$21,A20,'Test Cases'!$K$6:$K$21,"Fail")</f>
        <v>0</v>
      </c>
      <c r="E20" s="40" t="n">
        <f aca="false">COUNTIFS('Test Cases'!$B$6:$B$21,A20,'Test Cases'!$K$6:$K$21,"Blocked")</f>
        <v>0</v>
      </c>
      <c r="F20" s="40" t="n">
        <f aca="false">COUNTIFS('Test Cases'!$B$6:$B$21,A20,'Test Cases'!$K$6:$K$21,"Not Run")</f>
        <v>1</v>
      </c>
      <c r="G20" s="41" t="n">
        <f aca="false">IF(B20=0,0,C20/B20)</f>
        <v>0</v>
      </c>
    </row>
    <row r="21" customFormat="false" ht="14.25" hidden="false" customHeight="false" outlineLevel="0" collapsed="false">
      <c r="A21" s="42" t="s">
        <v>218</v>
      </c>
      <c r="B21" s="42" t="n">
        <f aca="false">SUM(B5:B20)</f>
        <v>16</v>
      </c>
      <c r="C21" s="42" t="n">
        <f aca="false">SUM(C5:C20)</f>
        <v>13</v>
      </c>
      <c r="D21" s="42" t="n">
        <f aca="false">SUM(D5:D20)</f>
        <v>0</v>
      </c>
      <c r="E21" s="42" t="n">
        <f aca="false">SUM(E5:E20)</f>
        <v>0</v>
      </c>
      <c r="F21" s="42" t="n">
        <f aca="false">SUM(F5:F20)</f>
        <v>3</v>
      </c>
      <c r="G21" s="43" t="n">
        <f aca="false">IF(B21=0,0,C21/B21)</f>
        <v>0.8125</v>
      </c>
    </row>
    <row r="23" customFormat="false" ht="30" hidden="false" customHeight="true" outlineLevel="0" collapsed="false">
      <c r="A23" s="4" t="s">
        <v>14</v>
      </c>
      <c r="B23" s="4" t="s">
        <v>218</v>
      </c>
      <c r="C23" s="4" t="s">
        <v>28</v>
      </c>
    </row>
    <row r="24" customFormat="false" ht="30" hidden="false" customHeight="true" outlineLevel="0" collapsed="false">
      <c r="A24" s="40" t="s">
        <v>29</v>
      </c>
      <c r="B24" s="40" t="n">
        <f aca="false">COUNTIF('Test Cases'!$L$6:$L$21,A24)</f>
        <v>11</v>
      </c>
      <c r="C24" s="40" t="n">
        <f aca="false">COUNTIFS('Test Cases'!$L$6:$L$21,A24,'Test Cases'!$K$6:$K$21,"Pass")</f>
        <v>10</v>
      </c>
    </row>
    <row r="25" customFormat="false" ht="14.25" hidden="false" customHeight="false" outlineLevel="0" collapsed="false">
      <c r="A25" s="40" t="s">
        <v>77</v>
      </c>
      <c r="B25" s="40" t="n">
        <f aca="false">COUNTIF('Test Cases'!$L$6:$L$21,A25)</f>
        <v>4</v>
      </c>
      <c r="C25" s="40" t="n">
        <f aca="false">COUNTIFS('Test Cases'!$L$6:$L$21,A25,'Test Cases'!$K$6:$K$21,"Pass")</f>
        <v>2</v>
      </c>
    </row>
    <row r="26" customFormat="false" ht="14.25" hidden="false" customHeight="false" outlineLevel="0" collapsed="false">
      <c r="A26" s="40" t="s">
        <v>120</v>
      </c>
      <c r="B26" s="40" t="n">
        <f aca="false">COUNTIF('Test Cases'!$L$6:$L$21,A26)</f>
        <v>1</v>
      </c>
      <c r="C26" s="40" t="n">
        <f aca="false">COUNTIFS('Test Cases'!$L$6:$L$21,A26,'Test Cases'!$K$6:$K$21,"Pass")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4" t="s">
        <v>224</v>
      </c>
      <c r="B1" s="4" t="s">
        <v>225</v>
      </c>
      <c r="C1" s="4" t="s">
        <v>226</v>
      </c>
      <c r="D1" s="4" t="s">
        <v>227</v>
      </c>
      <c r="E1" s="4" t="s">
        <v>228</v>
      </c>
    </row>
    <row r="2" customFormat="false" ht="14.25" hidden="false" customHeight="false" outlineLevel="0" collapsed="false">
      <c r="A2" s="5" t="s">
        <v>21</v>
      </c>
      <c r="B2" s="5" t="s">
        <v>229</v>
      </c>
      <c r="C2" s="5" t="s">
        <v>18</v>
      </c>
      <c r="D2" s="5" t="n">
        <f aca="false">IF(C2="",0,LEN(C2)-LEN(SUBSTITUTE(C2,",",""))+1)</f>
        <v>1</v>
      </c>
      <c r="E2" s="5" t="str">
        <f aca="false">IF(D2&gt;0,"Covered","Not covered")</f>
        <v>Covered</v>
      </c>
    </row>
    <row r="3" customFormat="false" ht="14.25" hidden="false" customHeight="false" outlineLevel="0" collapsed="false">
      <c r="A3" s="5" t="s">
        <v>36</v>
      </c>
      <c r="B3" s="5" t="s">
        <v>230</v>
      </c>
      <c r="C3" s="5" t="s">
        <v>33</v>
      </c>
      <c r="D3" s="5" t="n">
        <f aca="false">IF(C3="",0,LEN(C3)-LEN(SUBSTITUTE(C3,",",""))+1)</f>
        <v>1</v>
      </c>
      <c r="E3" s="5" t="str">
        <f aca="false">IF(D3&gt;0,"Covered","Not covered")</f>
        <v>Covered</v>
      </c>
    </row>
    <row r="4" customFormat="false" ht="14.25" hidden="false" customHeight="false" outlineLevel="0" collapsed="false">
      <c r="A4" s="5" t="s">
        <v>231</v>
      </c>
      <c r="B4" s="5" t="s">
        <v>232</v>
      </c>
      <c r="C4" s="5" t="s">
        <v>42</v>
      </c>
      <c r="D4" s="5" t="n">
        <f aca="false">IF(C4="",0,LEN(C4)-LEN(SUBSTITUTE(C4,",",""))+1)</f>
        <v>1</v>
      </c>
      <c r="E4" s="5" t="str">
        <f aca="false">IF(D4&gt;0,"Covered","Not covered")</f>
        <v>Covered</v>
      </c>
    </row>
    <row r="5" customFormat="false" ht="14.25" hidden="false" customHeight="false" outlineLevel="0" collapsed="false">
      <c r="A5" s="5" t="s">
        <v>233</v>
      </c>
      <c r="B5" s="5" t="s">
        <v>234</v>
      </c>
      <c r="C5" s="5" t="s">
        <v>150</v>
      </c>
      <c r="D5" s="5" t="n">
        <f aca="false">IF(C5="",0,LEN(C5)-LEN(SUBSTITUTE(C5,",",""))+1)</f>
        <v>1</v>
      </c>
      <c r="E5" s="5" t="str">
        <f aca="false">IF(D5&gt;0,"Covered","Not covered")</f>
        <v>Covered</v>
      </c>
    </row>
    <row r="6" customFormat="false" ht="14.25" hidden="false" customHeight="false" outlineLevel="0" collapsed="false">
      <c r="A6" s="5" t="s">
        <v>235</v>
      </c>
      <c r="B6" s="5" t="s">
        <v>236</v>
      </c>
      <c r="C6" s="5" t="s">
        <v>60</v>
      </c>
      <c r="D6" s="5" t="n">
        <f aca="false">IF(C6="",0,LEN(C6)-LEN(SUBSTITUTE(C6,",",""))+1)</f>
        <v>1</v>
      </c>
      <c r="E6" s="5" t="str">
        <f aca="false">IF(D6&gt;0,"Covered","Not covered")</f>
        <v>Covered</v>
      </c>
    </row>
    <row r="7" customFormat="false" ht="14.25" hidden="false" customHeight="false" outlineLevel="0" collapsed="false">
      <c r="A7" s="5" t="s">
        <v>73</v>
      </c>
      <c r="B7" s="5" t="s">
        <v>237</v>
      </c>
      <c r="C7" s="5" t="s">
        <v>70</v>
      </c>
      <c r="D7" s="5" t="n">
        <f aca="false">IF(C7="",0,LEN(C7)-LEN(SUBSTITUTE(C7,",",""))+1)</f>
        <v>1</v>
      </c>
      <c r="E7" s="5" t="str">
        <f aca="false">IF(D7&gt;0,"Covered","Not covered")</f>
        <v>Covered</v>
      </c>
    </row>
    <row r="8" customFormat="false" ht="14.25" hidden="false" customHeight="false" outlineLevel="0" collapsed="false">
      <c r="A8" s="5" t="s">
        <v>238</v>
      </c>
      <c r="B8" s="5" t="s">
        <v>239</v>
      </c>
      <c r="C8" s="5" t="s">
        <v>240</v>
      </c>
      <c r="D8" s="5" t="n">
        <f aca="false">IF(C8="",0,LEN(C8)-LEN(SUBSTITUTE(C8,",",""))+1)</f>
        <v>2</v>
      </c>
      <c r="E8" s="5" t="str">
        <f aca="false">IF(D8&gt;0,"Covered","Not covered")</f>
        <v>Covered</v>
      </c>
    </row>
    <row r="9" customFormat="false" ht="14.25" hidden="false" customHeight="false" outlineLevel="0" collapsed="false">
      <c r="A9" s="5" t="s">
        <v>109</v>
      </c>
      <c r="B9" s="5" t="s">
        <v>241</v>
      </c>
      <c r="C9" s="5" t="s">
        <v>106</v>
      </c>
      <c r="D9" s="5" t="n">
        <f aca="false">IF(C9="",0,LEN(C9)-LEN(SUBSTITUTE(C9,",",""))+1)</f>
        <v>1</v>
      </c>
      <c r="E9" s="5" t="str">
        <f aca="false">IF(D9&gt;0,"Covered","Not covered")</f>
        <v>Covered</v>
      </c>
    </row>
    <row r="10" customFormat="false" ht="14.25" hidden="false" customHeight="false" outlineLevel="0" collapsed="false">
      <c r="A10" s="5" t="s">
        <v>116</v>
      </c>
      <c r="B10" s="5" t="s">
        <v>242</v>
      </c>
      <c r="C10" s="5" t="s">
        <v>113</v>
      </c>
      <c r="D10" s="5" t="n">
        <f aca="false">IF(C10="",0,LEN(C10)-LEN(SUBSTITUTE(C10,",",""))+1)</f>
        <v>1</v>
      </c>
      <c r="E10" s="5" t="str">
        <f aca="false">IF(D10&gt;0,"Covered","Not covered")</f>
        <v>Covered</v>
      </c>
    </row>
    <row r="11" customFormat="false" ht="14.25" hidden="false" customHeight="false" outlineLevel="0" collapsed="false">
      <c r="A11" s="5" t="s">
        <v>243</v>
      </c>
      <c r="B11" s="5" t="s">
        <v>244</v>
      </c>
      <c r="C11" s="5" t="s">
        <v>51</v>
      </c>
      <c r="D11" s="5" t="n">
        <f aca="false">IF(C11="",0,LEN(C11)-LEN(SUBSTITUTE(C11,",",""))+1)</f>
        <v>1</v>
      </c>
      <c r="E11" s="5" t="str">
        <f aca="false">IF(D11&gt;0,"Covered","Not covered")</f>
        <v>Covered</v>
      </c>
    </row>
    <row r="12" customFormat="false" ht="14.25" hidden="false" customHeight="false" outlineLevel="0" collapsed="false">
      <c r="A12" s="5" t="s">
        <v>245</v>
      </c>
      <c r="B12" s="5" t="s">
        <v>246</v>
      </c>
      <c r="C12" s="5" t="s">
        <v>51</v>
      </c>
      <c r="D12" s="5" t="n">
        <f aca="false">IF(C12="",0,LEN(C12)-LEN(SUBSTITUTE(C12,",",""))+1)</f>
        <v>1</v>
      </c>
      <c r="E12" s="5" t="str">
        <f aca="false">IF(D12&gt;0,"Covered","Not covered")</f>
        <v>Covered</v>
      </c>
    </row>
    <row r="13" customFormat="false" ht="14.25" hidden="false" customHeight="false" outlineLevel="0" collapsed="false">
      <c r="A13" s="5" t="s">
        <v>247</v>
      </c>
      <c r="B13" s="5" t="s">
        <v>248</v>
      </c>
      <c r="C13" s="5" t="s">
        <v>249</v>
      </c>
      <c r="D13" s="5" t="n">
        <f aca="false">IF(C13="",0,LEN(C13)-LEN(SUBSTITUTE(C13,",",""))+1)</f>
        <v>3</v>
      </c>
      <c r="E13" s="5" t="str">
        <f aca="false">IF(D13&gt;0,"Covered","Not covered")</f>
        <v>Covered</v>
      </c>
    </row>
    <row r="14" customFormat="false" ht="14.25" hidden="false" customHeight="false" outlineLevel="0" collapsed="false">
      <c r="A14" s="5" t="s">
        <v>250</v>
      </c>
      <c r="B14" s="5" t="s">
        <v>251</v>
      </c>
      <c r="C14" s="5" t="s">
        <v>252</v>
      </c>
      <c r="D14" s="5" t="n">
        <f aca="false">IF(C14="",0,LEN(C14)-LEN(SUBSTITUTE(C14,",",""))+1)</f>
        <v>2</v>
      </c>
      <c r="E14" s="5" t="str">
        <f aca="false">IF(D14&gt;0,"Covered","Not covered")</f>
        <v>Covered</v>
      </c>
    </row>
    <row r="15" customFormat="false" ht="14.25" hidden="false" customHeight="false" outlineLevel="0" collapsed="false">
      <c r="A15" s="5" t="s">
        <v>253</v>
      </c>
      <c r="B15" s="5" t="s">
        <v>254</v>
      </c>
      <c r="C15" s="5" t="s">
        <v>150</v>
      </c>
      <c r="D15" s="5" t="n">
        <f aca="false">IF(C15="",0,LEN(C15)-LEN(SUBSTITUTE(C15,",",""))+1)</f>
        <v>1</v>
      </c>
      <c r="E15" s="5" t="str">
        <f aca="false">IF(D15&gt;0,"Covered","Not covered")</f>
        <v>Covered</v>
      </c>
    </row>
    <row r="16" customFormat="false" ht="14.25" hidden="false" customHeight="false" outlineLevel="0" collapsed="false">
      <c r="A16" s="5" t="s">
        <v>255</v>
      </c>
      <c r="B16" s="5" t="s">
        <v>256</v>
      </c>
      <c r="C16" s="5" t="s">
        <v>79</v>
      </c>
      <c r="D16" s="5" t="n">
        <f aca="false">IF(C16="",0,LEN(C16)-LEN(SUBSTITUTE(C16,",",""))+1)</f>
        <v>1</v>
      </c>
      <c r="E16" s="5" t="str">
        <f aca="false">IF(D16&gt;0,"Covered","Not covered")</f>
        <v>Covered</v>
      </c>
    </row>
    <row r="17" customFormat="false" ht="14.25" hidden="false" customHeight="false" outlineLevel="0" collapsed="false">
      <c r="A17" s="5" t="s">
        <v>257</v>
      </c>
      <c r="B17" s="5" t="s">
        <v>258</v>
      </c>
      <c r="C17" s="5" t="s">
        <v>79</v>
      </c>
      <c r="D17" s="5" t="n">
        <f aca="false">IF(C17="",0,LEN(C17)-LEN(SUBSTITUTE(C17,",",""))+1)</f>
        <v>1</v>
      </c>
      <c r="E17" s="5" t="str">
        <f aca="false">IF(D17&gt;0,"Covered","Not covered")</f>
        <v>Covered</v>
      </c>
    </row>
    <row r="18" customFormat="false" ht="14.25" hidden="false" customHeight="false" outlineLevel="0" collapsed="false">
      <c r="A18" s="5" t="s">
        <v>142</v>
      </c>
      <c r="B18" s="5" t="s">
        <v>259</v>
      </c>
      <c r="C18" s="5" t="s">
        <v>139</v>
      </c>
      <c r="D18" s="5" t="n">
        <f aca="false">IF(C18="",0,LEN(C18)-LEN(SUBSTITUTE(C18,",",""))+1)</f>
        <v>1</v>
      </c>
      <c r="E18" s="5" t="str">
        <f aca="false">IF(D18&gt;0,"Covered","Not covered")</f>
        <v>Covered</v>
      </c>
    </row>
    <row r="19" customFormat="false" ht="14.25" hidden="false" customHeight="false" outlineLevel="0" collapsed="false">
      <c r="A19" s="5" t="s">
        <v>100</v>
      </c>
      <c r="B19" s="5" t="s">
        <v>260</v>
      </c>
      <c r="C19" s="5" t="s">
        <v>97</v>
      </c>
      <c r="D19" s="5" t="n">
        <f aca="false">IF(C19="",0,LEN(C19)-LEN(SUBSTITUTE(C19,",",""))+1)</f>
        <v>1</v>
      </c>
      <c r="E19" s="5" t="str">
        <f aca="false">IF(D19&gt;0,"Covered","Not covered")</f>
        <v>Covered</v>
      </c>
    </row>
    <row r="20" customFormat="false" ht="14.25" hidden="false" customHeight="false" outlineLevel="0" collapsed="false">
      <c r="A20" s="5" t="s">
        <v>125</v>
      </c>
      <c r="B20" s="5" t="s">
        <v>261</v>
      </c>
      <c r="C20" s="5" t="s">
        <v>262</v>
      </c>
      <c r="D20" s="5" t="n">
        <f aca="false">IF(C20="",0,LEN(C20)-LEN(SUBSTITUTE(C20,",",""))+1)</f>
        <v>2</v>
      </c>
      <c r="E20" s="5" t="str">
        <f aca="false">IF(D20&gt;0,"Covered","Not covered")</f>
        <v>Covered</v>
      </c>
    </row>
    <row r="21" customFormat="false" ht="14.25" hidden="false" customHeight="false" outlineLevel="0" collapsed="false">
      <c r="A21" s="5" t="s">
        <v>263</v>
      </c>
      <c r="B21" s="5" t="s">
        <v>264</v>
      </c>
      <c r="C21" s="5" t="s">
        <v>88</v>
      </c>
      <c r="D21" s="5" t="n">
        <f aca="false">IF(C21="",0,LEN(C21)-LEN(SUBSTITUTE(C21,",",""))+1)</f>
        <v>1</v>
      </c>
      <c r="E21" s="5" t="str">
        <f aca="false">IF(D21&gt;0,"Covered","Not covered")</f>
        <v>Covered</v>
      </c>
    </row>
    <row r="23" customFormat="false" ht="14.25" hidden="false" customHeight="false" outlineLevel="0" collapsed="false">
      <c r="A23" s="39" t="s">
        <v>265</v>
      </c>
      <c r="D23" s="39" t="str">
        <f aca="false">COUNTIF(E2:E21,"Covered")&amp;" / "&amp;COUNTA(A2:A21)</f>
        <v>20 / 20</v>
      </c>
    </row>
  </sheetData>
  <conditionalFormatting sqref="E2:E21">
    <cfRule type="expression" priority="2" aboveAverage="0" equalAverage="0" bottom="0" percent="0" rank="0" text="" dxfId="24">
      <formula>E2="Not covered"</formula>
    </cfRule>
    <cfRule type="expression" priority="3" aboveAverage="0" equalAverage="0" bottom="0" percent="0" rank="0" text="" dxfId="25">
      <formula>E2="Covered"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2026-10-15T06:19:24Z</dcterms:created>
  <dc:creator>openpyxl</dc:creator>
  <dc:description/>
  <dc:language>en-US</dc:language>
  <cp:lastModifiedBy>Prathith Shetty</cp:lastModifiedBy>
  <dcterms:modified xsi:type="dcterms:W3CDTF">2026-10-15T07:00:21Z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